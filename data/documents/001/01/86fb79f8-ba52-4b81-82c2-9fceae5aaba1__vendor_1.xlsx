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work\procurement\Procurement-Bid-Agent\data\"/>
    </mc:Choice>
  </mc:AlternateContent>
  <xr:revisionPtr revIDLastSave="0" documentId="13_ncr:1_{B410DFF5-1555-4AAC-9DAF-065247373FF9}" xr6:coauthVersionLast="47" xr6:coauthVersionMax="47" xr10:uidLastSave="{00000000-0000-0000-0000-000000000000}"/>
  <bookViews>
    <workbookView xWindow="30450" yWindow="-9825" windowWidth="38700" windowHeight="15225" tabRatio="893" firstSheet="1" activeTab="4" xr2:uid="{ACCFDFCA-0C2B-4C7F-B0FA-F74689B2C0C8}"/>
  </bookViews>
  <sheets>
    <sheet name="ConsolidatedResponses" sheetId="68" state="hidden" r:id="rId1"/>
    <sheet name="Summary (READ FIRST)" sheetId="67" r:id="rId2"/>
    <sheet name="Subtitling" sheetId="66" r:id="rId3"/>
    <sheet name="CC &amp; HOH" sheetId="62" r:id="rId4"/>
    <sheet name="Dubbing" sheetId="65" r:id="rId5"/>
    <sheet name="Audio Desc." sheetId="64" r:id="rId6"/>
    <sheet name="VO" sheetId="63" r:id="rId7"/>
    <sheet name="SLAs and Definitions &gt;&gt;" sheetId="38" r:id="rId8"/>
    <sheet name="SLAs" sheetId="69" r:id="rId9"/>
    <sheet name="Definitions" sheetId="70" r:id="rId10"/>
  </sheets>
  <definedNames>
    <definedName name="_xlnm._FilterDatabase" localSheetId="5" hidden="1">'Audio Desc.'!$A$11:$A$22</definedName>
    <definedName name="_xlnm._FilterDatabase" localSheetId="3" hidden="1">'CC &amp; HOH'!$A$11:$A$22</definedName>
    <definedName name="_xlnm._FilterDatabase" localSheetId="0" hidden="1">ConsolidatedResponses!$A$1:$N$430</definedName>
    <definedName name="_xlnm._FilterDatabase" localSheetId="4" hidden="1">Dubbing!$A$11:$A$22</definedName>
    <definedName name="_xlnm._FilterDatabase" localSheetId="2" hidden="1">Subtitling!$A$11:$A$22</definedName>
    <definedName name="_xlnm._FilterDatabase" localSheetId="6" hidden="1">VO!$A$11:$A$22</definedName>
    <definedName name="CIQWBGuid" localSheetId="9" hidden="1">"4af089fb-128d-4f5c-8853-9d34e509b7db"</definedName>
    <definedName name="CIQWBGuid" localSheetId="8" hidden="1">"32a1bea2-79b3-4624-8340-ff3e5a69f93d"</definedName>
    <definedName name="CIQWBGuid" hidden="1">"2d6c687f-4fcf-4e21-84c1-ad9a480f3d89"</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8" hidden="1">"12/18/2025 10:26:57"</definedName>
    <definedName name="IQ_NAMES_REVISION_DATE_" hidden="1">45982.1675578704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5" i="68" l="1"/>
  <c r="H385" i="68"/>
  <c r="I385" i="68"/>
  <c r="G394" i="68"/>
  <c r="H394" i="68"/>
  <c r="I394" i="68"/>
  <c r="G403" i="68"/>
  <c r="G430" i="68"/>
  <c r="H430" i="68"/>
  <c r="I430" i="68"/>
  <c r="I356" i="68"/>
  <c r="I374" i="68"/>
  <c r="I383" i="68"/>
  <c r="I392" i="68"/>
  <c r="I419" i="68"/>
  <c r="G356" i="68"/>
  <c r="G357" i="68"/>
  <c r="H356" i="68"/>
  <c r="H357" i="68"/>
  <c r="I357" i="68"/>
  <c r="G365" i="68"/>
  <c r="G366" i="68"/>
  <c r="H365" i="68"/>
  <c r="H366" i="68"/>
  <c r="I365" i="68"/>
  <c r="I366" i="68"/>
  <c r="G374" i="68"/>
  <c r="G375" i="68"/>
  <c r="H374" i="68"/>
  <c r="H375" i="68"/>
  <c r="G383" i="68"/>
  <c r="G384" i="68"/>
  <c r="H383" i="68"/>
  <c r="H384" i="68"/>
  <c r="I384" i="68"/>
  <c r="G392" i="68"/>
  <c r="G393" i="68"/>
  <c r="H392" i="68"/>
  <c r="H393" i="68"/>
  <c r="I393" i="68"/>
  <c r="G401" i="68"/>
  <c r="G402" i="68"/>
  <c r="H401" i="68"/>
  <c r="I402" i="68"/>
  <c r="G410" i="68"/>
  <c r="G411" i="68"/>
  <c r="H410" i="68"/>
  <c r="H411" i="68"/>
  <c r="I410" i="68"/>
  <c r="I411" i="68"/>
  <c r="G419" i="68"/>
  <c r="G420" i="68"/>
  <c r="H419" i="68"/>
  <c r="H420" i="68"/>
  <c r="I420" i="68"/>
  <c r="G428" i="68"/>
  <c r="H428" i="68"/>
  <c r="I428" i="68"/>
  <c r="G355" i="68"/>
  <c r="H354" i="68"/>
  <c r="H355" i="68"/>
  <c r="G363" i="68"/>
  <c r="G364" i="68"/>
  <c r="H363" i="68"/>
  <c r="H364" i="68"/>
  <c r="G372" i="68"/>
  <c r="G373" i="68"/>
  <c r="H372" i="68"/>
  <c r="G381" i="68"/>
  <c r="G382" i="68"/>
  <c r="H381" i="68"/>
  <c r="H382" i="68"/>
  <c r="G390" i="68"/>
  <c r="G391" i="68"/>
  <c r="H390" i="68"/>
  <c r="H391" i="68"/>
  <c r="G399" i="68"/>
  <c r="G400" i="68"/>
  <c r="H399" i="68"/>
  <c r="H400" i="68"/>
  <c r="G408" i="68"/>
  <c r="G409" i="68"/>
  <c r="H408" i="68"/>
  <c r="H409" i="68"/>
  <c r="G417" i="68"/>
  <c r="G418" i="68"/>
  <c r="H417" i="68"/>
  <c r="H418" i="68"/>
  <c r="G426" i="68"/>
  <c r="G427" i="68"/>
  <c r="H426" i="68"/>
  <c r="H427" i="68"/>
  <c r="G352" i="68"/>
  <c r="G353" i="68"/>
  <c r="H352" i="68"/>
  <c r="H353" i="68"/>
  <c r="G361" i="68"/>
  <c r="G362" i="68"/>
  <c r="H361" i="68"/>
  <c r="H362" i="68"/>
  <c r="G370" i="68"/>
  <c r="G371" i="68"/>
  <c r="H370" i="68"/>
  <c r="H371" i="68"/>
  <c r="G379" i="68"/>
  <c r="G380" i="68"/>
  <c r="H379" i="68"/>
  <c r="H380" i="68"/>
  <c r="G388" i="68"/>
  <c r="G389" i="68"/>
  <c r="H388" i="68"/>
  <c r="H389" i="68"/>
  <c r="G397" i="68"/>
  <c r="G398" i="68"/>
  <c r="H397" i="68"/>
  <c r="H398" i="68"/>
  <c r="G406" i="68"/>
  <c r="G407" i="68"/>
  <c r="H406" i="68"/>
  <c r="H407" i="68"/>
  <c r="G415" i="68"/>
  <c r="G416" i="68"/>
  <c r="H415" i="68"/>
  <c r="H416" i="68"/>
  <c r="G424" i="68"/>
  <c r="G425" i="68"/>
  <c r="H424" i="68"/>
  <c r="H425" i="68"/>
  <c r="G350" i="68"/>
  <c r="G351" i="68"/>
  <c r="H350" i="68"/>
  <c r="H351" i="68"/>
  <c r="G359" i="68"/>
  <c r="G360" i="68"/>
  <c r="H359" i="68"/>
  <c r="H360" i="68"/>
  <c r="G368" i="68"/>
  <c r="G369" i="68"/>
  <c r="H368" i="68"/>
  <c r="H369" i="68"/>
  <c r="G377" i="68"/>
  <c r="G378" i="68"/>
  <c r="H377" i="68"/>
  <c r="H378" i="68"/>
  <c r="G386" i="68"/>
  <c r="G387" i="68"/>
  <c r="H386" i="68"/>
  <c r="H387" i="68"/>
  <c r="G395" i="68"/>
  <c r="G396" i="68"/>
  <c r="H395" i="68"/>
  <c r="H396" i="68"/>
  <c r="G404" i="68"/>
  <c r="G405" i="68"/>
  <c r="H404" i="68"/>
  <c r="H405" i="68"/>
  <c r="G413" i="68"/>
  <c r="G414" i="68"/>
  <c r="H413" i="68"/>
  <c r="H414" i="68"/>
  <c r="G422" i="68"/>
  <c r="G423" i="68"/>
  <c r="H422" i="68"/>
  <c r="H423" i="68"/>
  <c r="H349" i="68"/>
  <c r="G349" i="68"/>
  <c r="I348" i="68"/>
  <c r="I347" i="68"/>
  <c r="H348" i="68"/>
  <c r="H347" i="68"/>
  <c r="G348" i="68"/>
  <c r="G347" i="68"/>
  <c r="H346" i="68"/>
  <c r="H345" i="68"/>
  <c r="G346" i="68"/>
  <c r="G345" i="68"/>
  <c r="H344" i="68"/>
  <c r="H343" i="68"/>
  <c r="G344" i="68"/>
  <c r="G343" i="68"/>
  <c r="H342" i="68"/>
  <c r="H341" i="68"/>
  <c r="G342" i="68"/>
  <c r="G341" i="68"/>
  <c r="I340" i="68"/>
  <c r="H340" i="68"/>
  <c r="G340" i="68"/>
  <c r="I338" i="68"/>
  <c r="H339" i="68"/>
  <c r="H338" i="68"/>
  <c r="G339" i="68"/>
  <c r="G338" i="68"/>
  <c r="H337" i="68"/>
  <c r="H336" i="68"/>
  <c r="G337" i="68"/>
  <c r="G336" i="68"/>
  <c r="H335" i="68"/>
  <c r="H334" i="68"/>
  <c r="G335" i="68"/>
  <c r="G334" i="68"/>
  <c r="H333" i="68"/>
  <c r="G333" i="68"/>
  <c r="G332" i="68"/>
  <c r="I268" i="68"/>
  <c r="G286" i="68"/>
  <c r="H286" i="68"/>
  <c r="I286" i="68"/>
  <c r="G295" i="68"/>
  <c r="H295" i="68"/>
  <c r="I295" i="68"/>
  <c r="G304" i="68"/>
  <c r="G322" i="68"/>
  <c r="H322" i="68"/>
  <c r="I322" i="68"/>
  <c r="I250" i="68"/>
  <c r="H250" i="68"/>
  <c r="G250" i="68"/>
  <c r="I330" i="68"/>
  <c r="I329" i="68"/>
  <c r="G330" i="68"/>
  <c r="I321" i="68"/>
  <c r="I320" i="68"/>
  <c r="H321" i="68"/>
  <c r="H320" i="68"/>
  <c r="G321" i="68"/>
  <c r="G320" i="68"/>
  <c r="I312" i="68"/>
  <c r="I311" i="68"/>
  <c r="H312" i="68"/>
  <c r="H311" i="68"/>
  <c r="G312" i="68"/>
  <c r="G311" i="68"/>
  <c r="H302" i="68"/>
  <c r="G303" i="68"/>
  <c r="G302" i="68"/>
  <c r="I294" i="68"/>
  <c r="I293" i="68"/>
  <c r="H294" i="68"/>
  <c r="H293" i="68"/>
  <c r="G294" i="68"/>
  <c r="G293" i="68"/>
  <c r="I285" i="68"/>
  <c r="I284" i="68"/>
  <c r="H285" i="68"/>
  <c r="H284" i="68"/>
  <c r="G284" i="68"/>
  <c r="I276" i="68"/>
  <c r="H276" i="68"/>
  <c r="G276" i="68"/>
  <c r="G275" i="68"/>
  <c r="I267" i="68"/>
  <c r="I266" i="68"/>
  <c r="H267" i="68"/>
  <c r="H266" i="68"/>
  <c r="G267" i="68"/>
  <c r="G266" i="68"/>
  <c r="I258" i="68"/>
  <c r="I257" i="68"/>
  <c r="H257" i="68"/>
  <c r="G258" i="68"/>
  <c r="G257" i="68"/>
  <c r="H328" i="68"/>
  <c r="G328" i="68"/>
  <c r="G327" i="68"/>
  <c r="H319" i="68"/>
  <c r="H318" i="68"/>
  <c r="G319" i="68"/>
  <c r="G318" i="68"/>
  <c r="H310" i="68"/>
  <c r="H309" i="68"/>
  <c r="G310" i="68"/>
  <c r="G309" i="68"/>
  <c r="H300" i="68"/>
  <c r="G301" i="68"/>
  <c r="G300" i="68"/>
  <c r="H291" i="68"/>
  <c r="G292" i="68"/>
  <c r="G291" i="68"/>
  <c r="H283" i="68"/>
  <c r="H282" i="68"/>
  <c r="G283" i="68"/>
  <c r="G282" i="68"/>
  <c r="H274" i="68"/>
  <c r="H273" i="68"/>
  <c r="G274" i="68"/>
  <c r="G273" i="68"/>
  <c r="H264" i="68"/>
  <c r="G265" i="68"/>
  <c r="G264" i="68"/>
  <c r="H256" i="68"/>
  <c r="H255" i="68"/>
  <c r="G256" i="68"/>
  <c r="G255" i="68"/>
  <c r="H326" i="68"/>
  <c r="H325" i="68"/>
  <c r="G326" i="68"/>
  <c r="G325" i="68"/>
  <c r="H317" i="68"/>
  <c r="H316" i="68"/>
  <c r="G317" i="68"/>
  <c r="G316" i="68"/>
  <c r="H308" i="68"/>
  <c r="H307" i="68"/>
  <c r="G308" i="68"/>
  <c r="G307" i="68"/>
  <c r="H299" i="68"/>
  <c r="G299" i="68"/>
  <c r="G298" i="68"/>
  <c r="H290" i="68"/>
  <c r="H289" i="68"/>
  <c r="G290" i="68"/>
  <c r="G289" i="68"/>
  <c r="H281" i="68"/>
  <c r="H280" i="68"/>
  <c r="G281" i="68"/>
  <c r="G280" i="68"/>
  <c r="H272" i="68"/>
  <c r="H263" i="68"/>
  <c r="H262" i="68"/>
  <c r="G272" i="68"/>
  <c r="G262" i="68"/>
  <c r="H254" i="68"/>
  <c r="H253" i="68"/>
  <c r="G254" i="68"/>
  <c r="G253" i="68"/>
  <c r="I249" i="68"/>
  <c r="I248" i="68"/>
  <c r="H249" i="68"/>
  <c r="H248" i="68"/>
  <c r="G249" i="68"/>
  <c r="G248" i="68"/>
  <c r="H247" i="68"/>
  <c r="H246" i="68"/>
  <c r="G247" i="68"/>
  <c r="G246" i="68"/>
  <c r="H245" i="68"/>
  <c r="H244" i="68"/>
  <c r="G245" i="68"/>
  <c r="G244" i="68"/>
  <c r="I241" i="68"/>
  <c r="H241" i="68"/>
  <c r="G241" i="68"/>
  <c r="I240" i="68"/>
  <c r="I239" i="68"/>
  <c r="H240" i="68"/>
  <c r="G240" i="68"/>
  <c r="G239" i="68"/>
  <c r="H237" i="68"/>
  <c r="G237" i="68"/>
  <c r="H235" i="68"/>
  <c r="G236" i="68"/>
  <c r="G235" i="68"/>
  <c r="G261" i="68"/>
  <c r="H261" i="68"/>
  <c r="G270" i="68"/>
  <c r="H270" i="68"/>
  <c r="G278" i="68"/>
  <c r="G279" i="68"/>
  <c r="H278" i="68"/>
  <c r="H279" i="68"/>
  <c r="G297" i="68"/>
  <c r="H297" i="68"/>
  <c r="G306" i="68"/>
  <c r="H306" i="68"/>
  <c r="G314" i="68"/>
  <c r="G315" i="68"/>
  <c r="H314" i="68"/>
  <c r="H315" i="68"/>
  <c r="H242" i="68"/>
  <c r="G242" i="68"/>
  <c r="H234" i="68"/>
  <c r="G234" i="68"/>
  <c r="G178" i="68"/>
  <c r="H178" i="68"/>
  <c r="I178" i="68"/>
  <c r="G196" i="68"/>
  <c r="G214" i="68"/>
  <c r="H214" i="68"/>
  <c r="I214" i="68"/>
  <c r="G232" i="68"/>
  <c r="H232" i="68"/>
  <c r="I232" i="68"/>
  <c r="H142" i="68"/>
  <c r="H149" i="68"/>
  <c r="I149" i="68"/>
  <c r="G158" i="68"/>
  <c r="H158" i="68"/>
  <c r="I158" i="68"/>
  <c r="G167" i="68"/>
  <c r="G168" i="68"/>
  <c r="H167" i="68"/>
  <c r="H168" i="68"/>
  <c r="G186" i="68"/>
  <c r="H186" i="68"/>
  <c r="I186" i="68"/>
  <c r="G194" i="68"/>
  <c r="G195" i="68"/>
  <c r="I204" i="68"/>
  <c r="G212" i="68"/>
  <c r="G213" i="68"/>
  <c r="H212" i="68"/>
  <c r="H213" i="68"/>
  <c r="I212" i="68"/>
  <c r="I213" i="68"/>
  <c r="G230" i="68"/>
  <c r="H230" i="68"/>
  <c r="H231" i="68"/>
  <c r="I230" i="68"/>
  <c r="I231" i="68"/>
  <c r="I140" i="68"/>
  <c r="I141" i="68"/>
  <c r="H141" i="68"/>
  <c r="G140" i="68"/>
  <c r="H165" i="68"/>
  <c r="G175" i="68"/>
  <c r="H175" i="68"/>
  <c r="G184" i="68"/>
  <c r="H184" i="68"/>
  <c r="H201" i="68"/>
  <c r="G211" i="68"/>
  <c r="H211" i="68"/>
  <c r="G220" i="68"/>
  <c r="H219" i="68"/>
  <c r="H220" i="68"/>
  <c r="H139" i="68"/>
  <c r="G139" i="68"/>
  <c r="H163" i="68"/>
  <c r="G173" i="68"/>
  <c r="H172" i="68"/>
  <c r="H173" i="68"/>
  <c r="G181" i="68"/>
  <c r="G182" i="68"/>
  <c r="H181" i="68"/>
  <c r="H182" i="68"/>
  <c r="H200" i="68"/>
  <c r="G208" i="68"/>
  <c r="H208" i="68"/>
  <c r="H209" i="68"/>
  <c r="G217" i="68"/>
  <c r="G218" i="68"/>
  <c r="H217" i="68"/>
  <c r="H218" i="68"/>
  <c r="G146" i="68"/>
  <c r="G137" i="68"/>
  <c r="H137" i="68"/>
  <c r="G136" i="68"/>
  <c r="H144" i="68"/>
  <c r="G153" i="68"/>
  <c r="H153" i="68"/>
  <c r="G162" i="68"/>
  <c r="H162" i="68"/>
  <c r="G170" i="68"/>
  <c r="G171" i="68"/>
  <c r="H170" i="68"/>
  <c r="H171" i="68"/>
  <c r="H180" i="68"/>
  <c r="G189" i="68"/>
  <c r="H189" i="68"/>
  <c r="G198" i="68"/>
  <c r="H198" i="68"/>
  <c r="G206" i="68"/>
  <c r="G207" i="68"/>
  <c r="H206" i="68"/>
  <c r="H207" i="68"/>
  <c r="H216" i="68"/>
  <c r="G225" i="68"/>
  <c r="H225" i="68"/>
  <c r="H134" i="68"/>
  <c r="G135" i="68"/>
  <c r="G134" i="68"/>
  <c r="G97" i="68"/>
  <c r="H97" i="68"/>
  <c r="G103" i="68"/>
  <c r="H103" i="68"/>
  <c r="G109" i="68"/>
  <c r="H109" i="68"/>
  <c r="G115" i="68"/>
  <c r="H115" i="68"/>
  <c r="G121" i="68"/>
  <c r="H121" i="68"/>
  <c r="G127" i="68"/>
  <c r="H127" i="68"/>
  <c r="H90" i="68"/>
  <c r="H96" i="68"/>
  <c r="G102" i="68"/>
  <c r="H102" i="68"/>
  <c r="G108" i="68"/>
  <c r="H108" i="68"/>
  <c r="G114" i="68"/>
  <c r="H114" i="68"/>
  <c r="G120" i="68"/>
  <c r="H120" i="68"/>
  <c r="G126" i="68"/>
  <c r="H126" i="68"/>
  <c r="G72" i="68"/>
  <c r="G101" i="68"/>
  <c r="H101" i="68"/>
  <c r="G107" i="68"/>
  <c r="H107" i="68"/>
  <c r="G113" i="68"/>
  <c r="H113" i="68"/>
  <c r="G119" i="68"/>
  <c r="H119" i="68"/>
  <c r="G125" i="68"/>
  <c r="H125" i="68"/>
  <c r="G77" i="68"/>
  <c r="G94" i="68"/>
  <c r="H94" i="68"/>
  <c r="G124" i="68"/>
  <c r="H124" i="68"/>
  <c r="H70" i="68"/>
  <c r="G70" i="68"/>
  <c r="H87" i="68"/>
  <c r="G93" i="68"/>
  <c r="H93" i="68"/>
  <c r="G111" i="68"/>
  <c r="H111" i="68"/>
  <c r="G117" i="68"/>
  <c r="H117" i="68"/>
  <c r="G123" i="68"/>
  <c r="H123" i="68"/>
  <c r="H69" i="68"/>
  <c r="G69" i="68"/>
  <c r="G104" i="68"/>
  <c r="G110" i="68"/>
  <c r="G116" i="68"/>
  <c r="H116" i="68"/>
  <c r="G122" i="68"/>
  <c r="H122" i="68"/>
  <c r="H74" i="68"/>
  <c r="G68" i="68"/>
  <c r="H68" i="68"/>
  <c r="G86" i="68"/>
  <c r="H86" i="68"/>
  <c r="G92" i="68"/>
  <c r="H92" i="68"/>
  <c r="H104" i="68"/>
  <c r="H110" i="68"/>
  <c r="H55" i="68"/>
  <c r="H61" i="68"/>
  <c r="H67" i="68"/>
  <c r="G37" i="68"/>
  <c r="G43" i="68"/>
  <c r="G49" i="68"/>
  <c r="G55" i="68"/>
  <c r="G61" i="68"/>
  <c r="G67" i="68"/>
  <c r="G7" i="68"/>
  <c r="H30" i="68"/>
  <c r="G42" i="68"/>
  <c r="H42" i="68"/>
  <c r="G48" i="68"/>
  <c r="H48" i="68"/>
  <c r="G54" i="68"/>
  <c r="H54" i="68"/>
  <c r="G6" i="68"/>
  <c r="H53" i="68"/>
  <c r="H59" i="68"/>
  <c r="H65" i="68"/>
  <c r="G35" i="68"/>
  <c r="G59" i="68"/>
  <c r="G65" i="68"/>
  <c r="G5" i="68"/>
  <c r="H22" i="68"/>
  <c r="H46" i="68"/>
  <c r="G28" i="68"/>
  <c r="G52" i="68"/>
  <c r="G58" i="68"/>
  <c r="G4" i="68"/>
  <c r="H39" i="68"/>
  <c r="H57" i="68"/>
  <c r="H63" i="68"/>
  <c r="H3" i="68"/>
  <c r="G45" i="68"/>
  <c r="G63" i="68"/>
  <c r="H32" i="68"/>
  <c r="H50" i="68"/>
  <c r="H56" i="68"/>
  <c r="H2" i="68"/>
  <c r="G2" i="68"/>
  <c r="G38" i="68"/>
  <c r="G44" i="68"/>
  <c r="G56" i="68"/>
  <c r="G62" i="68"/>
  <c r="A2" i="68"/>
  <c r="B2" i="68"/>
  <c r="J2" i="68"/>
  <c r="K2" i="68"/>
  <c r="L2" i="68"/>
  <c r="M2" i="68"/>
  <c r="N2" i="68"/>
  <c r="A3" i="68"/>
  <c r="B3" i="68"/>
  <c r="G3" i="68"/>
  <c r="J3" i="68"/>
  <c r="K3" i="68"/>
  <c r="L3" i="68"/>
  <c r="M3" i="68"/>
  <c r="N3" i="68"/>
  <c r="A4" i="68"/>
  <c r="B4" i="68"/>
  <c r="H4" i="68"/>
  <c r="J4" i="68"/>
  <c r="K4" i="68"/>
  <c r="L4" i="68"/>
  <c r="M4" i="68"/>
  <c r="N4" i="68"/>
  <c r="A5" i="68"/>
  <c r="B5" i="68"/>
  <c r="H5" i="68"/>
  <c r="J5" i="68"/>
  <c r="K5" i="68"/>
  <c r="L5" i="68"/>
  <c r="M5" i="68"/>
  <c r="N5" i="68"/>
  <c r="A6" i="68"/>
  <c r="B6" i="68"/>
  <c r="H6" i="68"/>
  <c r="J6" i="68"/>
  <c r="K6" i="68"/>
  <c r="L6" i="68"/>
  <c r="M6" i="68"/>
  <c r="N6" i="68"/>
  <c r="A7" i="68"/>
  <c r="B7" i="68"/>
  <c r="H7" i="68"/>
  <c r="J7" i="68"/>
  <c r="K7" i="68"/>
  <c r="L7" i="68"/>
  <c r="M7" i="68"/>
  <c r="N7" i="68"/>
  <c r="A8" i="68"/>
  <c r="B8" i="68"/>
  <c r="G8" i="68"/>
  <c r="H8" i="68"/>
  <c r="J8" i="68"/>
  <c r="K8" i="68"/>
  <c r="L8" i="68"/>
  <c r="M8" i="68"/>
  <c r="N8" i="68"/>
  <c r="A9" i="68"/>
  <c r="B9" i="68"/>
  <c r="G9" i="68"/>
  <c r="H9" i="68"/>
  <c r="J9" i="68"/>
  <c r="K9" i="68"/>
  <c r="L9" i="68"/>
  <c r="M9" i="68"/>
  <c r="N9" i="68"/>
  <c r="A10" i="68"/>
  <c r="B10" i="68"/>
  <c r="G10" i="68"/>
  <c r="H10" i="68"/>
  <c r="J10" i="68"/>
  <c r="K10" i="68"/>
  <c r="L10" i="68"/>
  <c r="M10" i="68"/>
  <c r="N10" i="68"/>
  <c r="A11" i="68"/>
  <c r="B11" i="68"/>
  <c r="G11" i="68"/>
  <c r="H11" i="68"/>
  <c r="J11" i="68"/>
  <c r="K11" i="68"/>
  <c r="L11" i="68"/>
  <c r="M11" i="68"/>
  <c r="N11" i="68"/>
  <c r="A12" i="68"/>
  <c r="B12" i="68"/>
  <c r="G12" i="68"/>
  <c r="H12" i="68"/>
  <c r="J12" i="68"/>
  <c r="K12" i="68"/>
  <c r="L12" i="68"/>
  <c r="M12" i="68"/>
  <c r="N12" i="68"/>
  <c r="A13" i="68"/>
  <c r="B13" i="68"/>
  <c r="G13" i="68"/>
  <c r="H13" i="68"/>
  <c r="J13" i="68"/>
  <c r="K13" i="68"/>
  <c r="L13" i="68"/>
  <c r="M13" i="68"/>
  <c r="N13" i="68"/>
  <c r="A14" i="68"/>
  <c r="B14" i="68"/>
  <c r="G14" i="68"/>
  <c r="H14" i="68"/>
  <c r="J14" i="68"/>
  <c r="K14" i="68"/>
  <c r="L14" i="68"/>
  <c r="M14" i="68"/>
  <c r="N14" i="68"/>
  <c r="A15" i="68"/>
  <c r="B15" i="68"/>
  <c r="G15" i="68"/>
  <c r="H15" i="68"/>
  <c r="J15" i="68"/>
  <c r="K15" i="68"/>
  <c r="L15" i="68"/>
  <c r="M15" i="68"/>
  <c r="N15" i="68"/>
  <c r="A16" i="68"/>
  <c r="B16" i="68"/>
  <c r="G16" i="68"/>
  <c r="H16" i="68"/>
  <c r="J16" i="68"/>
  <c r="K16" i="68"/>
  <c r="L16" i="68"/>
  <c r="M16" i="68"/>
  <c r="N16" i="68"/>
  <c r="A17" i="68"/>
  <c r="B17" i="68"/>
  <c r="G17" i="68"/>
  <c r="H17" i="68"/>
  <c r="J17" i="68"/>
  <c r="K17" i="68"/>
  <c r="L17" i="68"/>
  <c r="M17" i="68"/>
  <c r="N17" i="68"/>
  <c r="A18" i="68"/>
  <c r="B18" i="68"/>
  <c r="G18" i="68"/>
  <c r="H18" i="68"/>
  <c r="J18" i="68"/>
  <c r="K18" i="68"/>
  <c r="L18" i="68"/>
  <c r="M18" i="68"/>
  <c r="N18" i="68"/>
  <c r="A19" i="68"/>
  <c r="B19" i="68"/>
  <c r="G19" i="68"/>
  <c r="H19" i="68"/>
  <c r="J19" i="68"/>
  <c r="K19" i="68"/>
  <c r="L19" i="68"/>
  <c r="M19" i="68"/>
  <c r="N19" i="68"/>
  <c r="A20" i="68"/>
  <c r="B20" i="68"/>
  <c r="G20" i="68"/>
  <c r="H20" i="68"/>
  <c r="J20" i="68"/>
  <c r="K20" i="68"/>
  <c r="L20" i="68"/>
  <c r="M20" i="68"/>
  <c r="N20" i="68"/>
  <c r="A21" i="68"/>
  <c r="B21" i="68"/>
  <c r="G21" i="68"/>
  <c r="H21" i="68"/>
  <c r="J21" i="68"/>
  <c r="K21" i="68"/>
  <c r="L21" i="68"/>
  <c r="M21" i="68"/>
  <c r="N21" i="68"/>
  <c r="A22" i="68"/>
  <c r="B22" i="68"/>
  <c r="G22" i="68"/>
  <c r="J22" i="68"/>
  <c r="K22" i="68"/>
  <c r="L22" i="68"/>
  <c r="M22" i="68"/>
  <c r="N22" i="68"/>
  <c r="A23" i="68"/>
  <c r="B23" i="68"/>
  <c r="G23" i="68"/>
  <c r="H23" i="68"/>
  <c r="J23" i="68"/>
  <c r="K23" i="68"/>
  <c r="L23" i="68"/>
  <c r="M23" i="68"/>
  <c r="N23" i="68"/>
  <c r="A24" i="68"/>
  <c r="B24" i="68"/>
  <c r="G24" i="68"/>
  <c r="H24" i="68"/>
  <c r="J24" i="68"/>
  <c r="K24" i="68"/>
  <c r="L24" i="68"/>
  <c r="M24" i="68"/>
  <c r="N24" i="68"/>
  <c r="A25" i="68"/>
  <c r="B25" i="68"/>
  <c r="G25" i="68"/>
  <c r="H25" i="68"/>
  <c r="J25" i="68"/>
  <c r="K25" i="68"/>
  <c r="L25" i="68"/>
  <c r="M25" i="68"/>
  <c r="N25" i="68"/>
  <c r="A26" i="68"/>
  <c r="B26" i="68"/>
  <c r="G26" i="68"/>
  <c r="H26" i="68"/>
  <c r="J26" i="68"/>
  <c r="K26" i="68"/>
  <c r="L26" i="68"/>
  <c r="M26" i="68"/>
  <c r="N26" i="68"/>
  <c r="A27" i="68"/>
  <c r="B27" i="68"/>
  <c r="G27" i="68"/>
  <c r="H27" i="68"/>
  <c r="J27" i="68"/>
  <c r="K27" i="68"/>
  <c r="L27" i="68"/>
  <c r="M27" i="68"/>
  <c r="N27" i="68"/>
  <c r="A28" i="68"/>
  <c r="B28" i="68"/>
  <c r="H28" i="68"/>
  <c r="J28" i="68"/>
  <c r="K28" i="68"/>
  <c r="L28" i="68"/>
  <c r="M28" i="68"/>
  <c r="N28" i="68"/>
  <c r="A29" i="68"/>
  <c r="B29" i="68"/>
  <c r="G29" i="68"/>
  <c r="H29" i="68"/>
  <c r="J29" i="68"/>
  <c r="K29" i="68"/>
  <c r="L29" i="68"/>
  <c r="M29" i="68"/>
  <c r="N29" i="68"/>
  <c r="A30" i="68"/>
  <c r="B30" i="68"/>
  <c r="G30" i="68"/>
  <c r="J30" i="68"/>
  <c r="K30" i="68"/>
  <c r="L30" i="68"/>
  <c r="M30" i="68"/>
  <c r="N30" i="68"/>
  <c r="A31" i="68"/>
  <c r="B31" i="68"/>
  <c r="G31" i="68"/>
  <c r="H31" i="68"/>
  <c r="J31" i="68"/>
  <c r="K31" i="68"/>
  <c r="L31" i="68"/>
  <c r="M31" i="68"/>
  <c r="N31" i="68"/>
  <c r="A32" i="68"/>
  <c r="B32" i="68"/>
  <c r="G32" i="68"/>
  <c r="J32" i="68"/>
  <c r="K32" i="68"/>
  <c r="L32" i="68"/>
  <c r="M32" i="68"/>
  <c r="N32" i="68"/>
  <c r="A33" i="68"/>
  <c r="B33" i="68"/>
  <c r="G33" i="68"/>
  <c r="H33" i="68"/>
  <c r="J33" i="68"/>
  <c r="K33" i="68"/>
  <c r="L33" i="68"/>
  <c r="M33" i="68"/>
  <c r="N33" i="68"/>
  <c r="A34" i="68"/>
  <c r="B34" i="68"/>
  <c r="G34" i="68"/>
  <c r="H34" i="68"/>
  <c r="J34" i="68"/>
  <c r="K34" i="68"/>
  <c r="L34" i="68"/>
  <c r="M34" i="68"/>
  <c r="N34" i="68"/>
  <c r="A35" i="68"/>
  <c r="B35" i="68"/>
  <c r="H35" i="68"/>
  <c r="J35" i="68"/>
  <c r="K35" i="68"/>
  <c r="L35" i="68"/>
  <c r="M35" i="68"/>
  <c r="N35" i="68"/>
  <c r="A36" i="68"/>
  <c r="B36" i="68"/>
  <c r="G36" i="68"/>
  <c r="H36" i="68"/>
  <c r="J36" i="68"/>
  <c r="K36" i="68"/>
  <c r="L36" i="68"/>
  <c r="M36" i="68"/>
  <c r="N36" i="68"/>
  <c r="A37" i="68"/>
  <c r="B37" i="68"/>
  <c r="H37" i="68"/>
  <c r="J37" i="68"/>
  <c r="K37" i="68"/>
  <c r="L37" i="68"/>
  <c r="M37" i="68"/>
  <c r="N37" i="68"/>
  <c r="A38" i="68"/>
  <c r="B38" i="68"/>
  <c r="H38" i="68"/>
  <c r="J38" i="68"/>
  <c r="K38" i="68"/>
  <c r="L38" i="68"/>
  <c r="M38" i="68"/>
  <c r="N38" i="68"/>
  <c r="A39" i="68"/>
  <c r="B39" i="68"/>
  <c r="G39" i="68"/>
  <c r="J39" i="68"/>
  <c r="K39" i="68"/>
  <c r="L39" i="68"/>
  <c r="M39" i="68"/>
  <c r="N39" i="68"/>
  <c r="A40" i="68"/>
  <c r="B40" i="68"/>
  <c r="G40" i="68"/>
  <c r="H40" i="68"/>
  <c r="J40" i="68"/>
  <c r="K40" i="68"/>
  <c r="L40" i="68"/>
  <c r="M40" i="68"/>
  <c r="N40" i="68"/>
  <c r="A41" i="68"/>
  <c r="B41" i="68"/>
  <c r="G41" i="68"/>
  <c r="H41" i="68"/>
  <c r="J41" i="68"/>
  <c r="K41" i="68"/>
  <c r="L41" i="68"/>
  <c r="M41" i="68"/>
  <c r="N41" i="68"/>
  <c r="A42" i="68"/>
  <c r="B42" i="68"/>
  <c r="J42" i="68"/>
  <c r="K42" i="68"/>
  <c r="L42" i="68"/>
  <c r="M42" i="68"/>
  <c r="N42" i="68"/>
  <c r="A43" i="68"/>
  <c r="B43" i="68"/>
  <c r="H43" i="68"/>
  <c r="J43" i="68"/>
  <c r="K43" i="68"/>
  <c r="L43" i="68"/>
  <c r="M43" i="68"/>
  <c r="N43" i="68"/>
  <c r="A44" i="68"/>
  <c r="B44" i="68"/>
  <c r="H44" i="68"/>
  <c r="J44" i="68"/>
  <c r="K44" i="68"/>
  <c r="L44" i="68"/>
  <c r="M44" i="68"/>
  <c r="N44" i="68"/>
  <c r="A45" i="68"/>
  <c r="B45" i="68"/>
  <c r="H45" i="68"/>
  <c r="J45" i="68"/>
  <c r="K45" i="68"/>
  <c r="L45" i="68"/>
  <c r="M45" i="68"/>
  <c r="N45" i="68"/>
  <c r="A46" i="68"/>
  <c r="B46" i="68"/>
  <c r="G46" i="68"/>
  <c r="J46" i="68"/>
  <c r="K46" i="68"/>
  <c r="L46" i="68"/>
  <c r="M46" i="68"/>
  <c r="N46" i="68"/>
  <c r="A47" i="68"/>
  <c r="B47" i="68"/>
  <c r="G47" i="68"/>
  <c r="H47" i="68"/>
  <c r="J47" i="68"/>
  <c r="K47" i="68"/>
  <c r="L47" i="68"/>
  <c r="M47" i="68"/>
  <c r="N47" i="68"/>
  <c r="A48" i="68"/>
  <c r="B48" i="68"/>
  <c r="J48" i="68"/>
  <c r="K48" i="68"/>
  <c r="L48" i="68"/>
  <c r="M48" i="68"/>
  <c r="N48" i="68"/>
  <c r="A49" i="68"/>
  <c r="B49" i="68"/>
  <c r="H49" i="68"/>
  <c r="J49" i="68"/>
  <c r="K49" i="68"/>
  <c r="L49" i="68"/>
  <c r="M49" i="68"/>
  <c r="N49" i="68"/>
  <c r="A50" i="68"/>
  <c r="B50" i="68"/>
  <c r="G50" i="68"/>
  <c r="J50" i="68"/>
  <c r="K50" i="68"/>
  <c r="L50" i="68"/>
  <c r="M50" i="68"/>
  <c r="N50" i="68"/>
  <c r="A51" i="68"/>
  <c r="B51" i="68"/>
  <c r="G51" i="68"/>
  <c r="H51" i="68"/>
  <c r="J51" i="68"/>
  <c r="K51" i="68"/>
  <c r="L51" i="68"/>
  <c r="M51" i="68"/>
  <c r="N51" i="68"/>
  <c r="A52" i="68"/>
  <c r="B52" i="68"/>
  <c r="H52" i="68"/>
  <c r="J52" i="68"/>
  <c r="K52" i="68"/>
  <c r="L52" i="68"/>
  <c r="M52" i="68"/>
  <c r="N52" i="68"/>
  <c r="A53" i="68"/>
  <c r="B53" i="68"/>
  <c r="G53" i="68"/>
  <c r="J53" i="68"/>
  <c r="K53" i="68"/>
  <c r="L53" i="68"/>
  <c r="M53" i="68"/>
  <c r="N53" i="68"/>
  <c r="A54" i="68"/>
  <c r="B54" i="68"/>
  <c r="J54" i="68"/>
  <c r="K54" i="68"/>
  <c r="L54" i="68"/>
  <c r="M54" i="68"/>
  <c r="N54" i="68"/>
  <c r="A55" i="68"/>
  <c r="B55" i="68"/>
  <c r="J55" i="68"/>
  <c r="K55" i="68"/>
  <c r="L55" i="68"/>
  <c r="M55" i="68"/>
  <c r="N55" i="68"/>
  <c r="A56" i="68"/>
  <c r="B56" i="68"/>
  <c r="J56" i="68"/>
  <c r="K56" i="68"/>
  <c r="L56" i="68"/>
  <c r="M56" i="68"/>
  <c r="N56" i="68"/>
  <c r="A57" i="68"/>
  <c r="B57" i="68"/>
  <c r="G57" i="68"/>
  <c r="J57" i="68"/>
  <c r="K57" i="68"/>
  <c r="L57" i="68"/>
  <c r="M57" i="68"/>
  <c r="N57" i="68"/>
  <c r="A58" i="68"/>
  <c r="B58" i="68"/>
  <c r="H58" i="68"/>
  <c r="J58" i="68"/>
  <c r="K58" i="68"/>
  <c r="L58" i="68"/>
  <c r="M58" i="68"/>
  <c r="N58" i="68"/>
  <c r="A59" i="68"/>
  <c r="B59" i="68"/>
  <c r="J59" i="68"/>
  <c r="K59" i="68"/>
  <c r="L59" i="68"/>
  <c r="M59" i="68"/>
  <c r="N59" i="68"/>
  <c r="A60" i="68"/>
  <c r="B60" i="68"/>
  <c r="G60" i="68"/>
  <c r="H60" i="68"/>
  <c r="J60" i="68"/>
  <c r="K60" i="68"/>
  <c r="L60" i="68"/>
  <c r="M60" i="68"/>
  <c r="N60" i="68"/>
  <c r="A61" i="68"/>
  <c r="B61" i="68"/>
  <c r="J61" i="68"/>
  <c r="K61" i="68"/>
  <c r="L61" i="68"/>
  <c r="M61" i="68"/>
  <c r="N61" i="68"/>
  <c r="A62" i="68"/>
  <c r="B62" i="68"/>
  <c r="H62" i="68"/>
  <c r="J62" i="68"/>
  <c r="K62" i="68"/>
  <c r="L62" i="68"/>
  <c r="M62" i="68"/>
  <c r="N62" i="68"/>
  <c r="A63" i="68"/>
  <c r="B63" i="68"/>
  <c r="J63" i="68"/>
  <c r="K63" i="68"/>
  <c r="L63" i="68"/>
  <c r="M63" i="68"/>
  <c r="N63" i="68"/>
  <c r="A64" i="68"/>
  <c r="B64" i="68"/>
  <c r="G64" i="68"/>
  <c r="H64" i="68"/>
  <c r="J64" i="68"/>
  <c r="K64" i="68"/>
  <c r="L64" i="68"/>
  <c r="M64" i="68"/>
  <c r="N64" i="68"/>
  <c r="A65" i="68"/>
  <c r="B65" i="68"/>
  <c r="J65" i="68"/>
  <c r="K65" i="68"/>
  <c r="L65" i="68"/>
  <c r="M65" i="68"/>
  <c r="N65" i="68"/>
  <c r="A66" i="68"/>
  <c r="B66" i="68"/>
  <c r="G66" i="68"/>
  <c r="H66" i="68"/>
  <c r="J66" i="68"/>
  <c r="K66" i="68"/>
  <c r="L66" i="68"/>
  <c r="M66" i="68"/>
  <c r="N66" i="68"/>
  <c r="A67" i="68"/>
  <c r="B67" i="68"/>
  <c r="J67" i="68"/>
  <c r="K67" i="68"/>
  <c r="L67" i="68"/>
  <c r="M67" i="68"/>
  <c r="N67" i="68"/>
  <c r="A68" i="68"/>
  <c r="B68" i="68"/>
  <c r="J68" i="68"/>
  <c r="K68" i="68"/>
  <c r="L68" i="68"/>
  <c r="M68" i="68"/>
  <c r="N68" i="68"/>
  <c r="A69" i="68"/>
  <c r="B69" i="68"/>
  <c r="J69" i="68"/>
  <c r="K69" i="68"/>
  <c r="L69" i="68"/>
  <c r="M69" i="68"/>
  <c r="N69" i="68"/>
  <c r="A70" i="68"/>
  <c r="B70" i="68"/>
  <c r="J70" i="68"/>
  <c r="K70" i="68"/>
  <c r="L70" i="68"/>
  <c r="M70" i="68"/>
  <c r="N70" i="68"/>
  <c r="A71" i="68"/>
  <c r="B71" i="68"/>
  <c r="G71" i="68"/>
  <c r="H71" i="68"/>
  <c r="J71" i="68"/>
  <c r="K71" i="68"/>
  <c r="L71" i="68"/>
  <c r="M71" i="68"/>
  <c r="N71" i="68"/>
  <c r="A72" i="68"/>
  <c r="B72" i="68"/>
  <c r="H72" i="68"/>
  <c r="J72" i="68"/>
  <c r="K72" i="68"/>
  <c r="L72" i="68"/>
  <c r="M72" i="68"/>
  <c r="N72" i="68"/>
  <c r="A73" i="68"/>
  <c r="B73" i="68"/>
  <c r="G73" i="68"/>
  <c r="H73" i="68"/>
  <c r="J73" i="68"/>
  <c r="K73" i="68"/>
  <c r="L73" i="68"/>
  <c r="M73" i="68"/>
  <c r="N73" i="68"/>
  <c r="A74" i="68"/>
  <c r="B74" i="68"/>
  <c r="G74" i="68"/>
  <c r="J74" i="68"/>
  <c r="K74" i="68"/>
  <c r="L74" i="68"/>
  <c r="M74" i="68"/>
  <c r="N74" i="68"/>
  <c r="A75" i="68"/>
  <c r="B75" i="68"/>
  <c r="G75" i="68"/>
  <c r="H75" i="68"/>
  <c r="J75" i="68"/>
  <c r="K75" i="68"/>
  <c r="L75" i="68"/>
  <c r="M75" i="68"/>
  <c r="N75" i="68"/>
  <c r="A76" i="68"/>
  <c r="B76" i="68"/>
  <c r="G76" i="68"/>
  <c r="H76" i="68"/>
  <c r="J76" i="68"/>
  <c r="K76" i="68"/>
  <c r="L76" i="68"/>
  <c r="M76" i="68"/>
  <c r="N76" i="68"/>
  <c r="A77" i="68"/>
  <c r="B77" i="68"/>
  <c r="H77" i="68"/>
  <c r="J77" i="68"/>
  <c r="K77" i="68"/>
  <c r="L77" i="68"/>
  <c r="M77" i="68"/>
  <c r="N77" i="68"/>
  <c r="A78" i="68"/>
  <c r="B78" i="68"/>
  <c r="G78" i="68"/>
  <c r="H78" i="68"/>
  <c r="J78" i="68"/>
  <c r="K78" i="68"/>
  <c r="L78" i="68"/>
  <c r="M78" i="68"/>
  <c r="N78" i="68"/>
  <c r="A79" i="68"/>
  <c r="B79" i="68"/>
  <c r="G79" i="68"/>
  <c r="H79" i="68"/>
  <c r="J79" i="68"/>
  <c r="K79" i="68"/>
  <c r="L79" i="68"/>
  <c r="M79" i="68"/>
  <c r="N79" i="68"/>
  <c r="A80" i="68"/>
  <c r="B80" i="68"/>
  <c r="G80" i="68"/>
  <c r="H80" i="68"/>
  <c r="J80" i="68"/>
  <c r="K80" i="68"/>
  <c r="L80" i="68"/>
  <c r="M80" i="68"/>
  <c r="N80" i="68"/>
  <c r="A81" i="68"/>
  <c r="B81" i="68"/>
  <c r="G81" i="68"/>
  <c r="H81" i="68"/>
  <c r="J81" i="68"/>
  <c r="K81" i="68"/>
  <c r="L81" i="68"/>
  <c r="M81" i="68"/>
  <c r="N81" i="68"/>
  <c r="A82" i="68"/>
  <c r="B82" i="68"/>
  <c r="G82" i="68"/>
  <c r="H82" i="68"/>
  <c r="J82" i="68"/>
  <c r="K82" i="68"/>
  <c r="L82" i="68"/>
  <c r="M82" i="68"/>
  <c r="N82" i="68"/>
  <c r="A83" i="68"/>
  <c r="B83" i="68"/>
  <c r="G83" i="68"/>
  <c r="H83" i="68"/>
  <c r="J83" i="68"/>
  <c r="K83" i="68"/>
  <c r="L83" i="68"/>
  <c r="M83" i="68"/>
  <c r="N83" i="68"/>
  <c r="A84" i="68"/>
  <c r="B84" i="68"/>
  <c r="G84" i="68"/>
  <c r="H84" i="68"/>
  <c r="J84" i="68"/>
  <c r="K84" i="68"/>
  <c r="L84" i="68"/>
  <c r="M84" i="68"/>
  <c r="N84" i="68"/>
  <c r="A85" i="68"/>
  <c r="B85" i="68"/>
  <c r="G85" i="68"/>
  <c r="H85" i="68"/>
  <c r="J85" i="68"/>
  <c r="K85" i="68"/>
  <c r="L85" i="68"/>
  <c r="M85" i="68"/>
  <c r="N85" i="68"/>
  <c r="A86" i="68"/>
  <c r="B86" i="68"/>
  <c r="J86" i="68"/>
  <c r="K86" i="68"/>
  <c r="L86" i="68"/>
  <c r="M86" i="68"/>
  <c r="N86" i="68"/>
  <c r="A87" i="68"/>
  <c r="B87" i="68"/>
  <c r="G87" i="68"/>
  <c r="J87" i="68"/>
  <c r="K87" i="68"/>
  <c r="L87" i="68"/>
  <c r="M87" i="68"/>
  <c r="N87" i="68"/>
  <c r="A88" i="68"/>
  <c r="B88" i="68"/>
  <c r="G88" i="68"/>
  <c r="H88" i="68"/>
  <c r="J88" i="68"/>
  <c r="K88" i="68"/>
  <c r="L88" i="68"/>
  <c r="M88" i="68"/>
  <c r="N88" i="68"/>
  <c r="A89" i="68"/>
  <c r="B89" i="68"/>
  <c r="G89" i="68"/>
  <c r="H89" i="68"/>
  <c r="J89" i="68"/>
  <c r="K89" i="68"/>
  <c r="L89" i="68"/>
  <c r="M89" i="68"/>
  <c r="N89" i="68"/>
  <c r="A90" i="68"/>
  <c r="B90" i="68"/>
  <c r="G90" i="68"/>
  <c r="J90" i="68"/>
  <c r="K90" i="68"/>
  <c r="L90" i="68"/>
  <c r="M90" i="68"/>
  <c r="N90" i="68"/>
  <c r="A91" i="68"/>
  <c r="B91" i="68"/>
  <c r="G91" i="68"/>
  <c r="H91" i="68"/>
  <c r="J91" i="68"/>
  <c r="K91" i="68"/>
  <c r="L91" i="68"/>
  <c r="M91" i="68"/>
  <c r="N91" i="68"/>
  <c r="A92" i="68"/>
  <c r="B92" i="68"/>
  <c r="J92" i="68"/>
  <c r="K92" i="68"/>
  <c r="L92" i="68"/>
  <c r="M92" i="68"/>
  <c r="N92" i="68"/>
  <c r="A93" i="68"/>
  <c r="B93" i="68"/>
  <c r="J93" i="68"/>
  <c r="K93" i="68"/>
  <c r="L93" i="68"/>
  <c r="M93" i="68"/>
  <c r="N93" i="68"/>
  <c r="A94" i="68"/>
  <c r="B94" i="68"/>
  <c r="J94" i="68"/>
  <c r="K94" i="68"/>
  <c r="L94" i="68"/>
  <c r="M94" i="68"/>
  <c r="N94" i="68"/>
  <c r="A95" i="68"/>
  <c r="B95" i="68"/>
  <c r="G95" i="68"/>
  <c r="H95" i="68"/>
  <c r="J95" i="68"/>
  <c r="K95" i="68"/>
  <c r="L95" i="68"/>
  <c r="M95" i="68"/>
  <c r="N95" i="68"/>
  <c r="A96" i="68"/>
  <c r="B96" i="68"/>
  <c r="G96" i="68"/>
  <c r="J96" i="68"/>
  <c r="K96" i="68"/>
  <c r="L96" i="68"/>
  <c r="M96" i="68"/>
  <c r="N96" i="68"/>
  <c r="A97" i="68"/>
  <c r="B97" i="68"/>
  <c r="J97" i="68"/>
  <c r="K97" i="68"/>
  <c r="L97" i="68"/>
  <c r="M97" i="68"/>
  <c r="N97" i="68"/>
  <c r="A98" i="68"/>
  <c r="B98" i="68"/>
  <c r="G98" i="68"/>
  <c r="H98" i="68"/>
  <c r="J98" i="68"/>
  <c r="K98" i="68"/>
  <c r="L98" i="68"/>
  <c r="M98" i="68"/>
  <c r="N98" i="68"/>
  <c r="A99" i="68"/>
  <c r="B99" i="68"/>
  <c r="G99" i="68"/>
  <c r="H99" i="68"/>
  <c r="J99" i="68"/>
  <c r="K99" i="68"/>
  <c r="L99" i="68"/>
  <c r="M99" i="68"/>
  <c r="N99" i="68"/>
  <c r="A100" i="68"/>
  <c r="B100" i="68"/>
  <c r="G100" i="68"/>
  <c r="H100" i="68"/>
  <c r="J100" i="68"/>
  <c r="K100" i="68"/>
  <c r="L100" i="68"/>
  <c r="M100" i="68"/>
  <c r="N100" i="68"/>
  <c r="A101" i="68"/>
  <c r="B101" i="68"/>
  <c r="J101" i="68"/>
  <c r="K101" i="68"/>
  <c r="L101" i="68"/>
  <c r="M101" i="68"/>
  <c r="N101" i="68"/>
  <c r="A102" i="68"/>
  <c r="B102" i="68"/>
  <c r="J102" i="68"/>
  <c r="K102" i="68"/>
  <c r="L102" i="68"/>
  <c r="M102" i="68"/>
  <c r="N102" i="68"/>
  <c r="A103" i="68"/>
  <c r="B103" i="68"/>
  <c r="J103" i="68"/>
  <c r="K103" i="68"/>
  <c r="L103" i="68"/>
  <c r="M103" i="68"/>
  <c r="N103" i="68"/>
  <c r="A104" i="68"/>
  <c r="B104" i="68"/>
  <c r="J104" i="68"/>
  <c r="K104" i="68"/>
  <c r="L104" i="68"/>
  <c r="M104" i="68"/>
  <c r="N104" i="68"/>
  <c r="A105" i="68"/>
  <c r="B105" i="68"/>
  <c r="G105" i="68"/>
  <c r="H105" i="68"/>
  <c r="J105" i="68"/>
  <c r="K105" i="68"/>
  <c r="L105" i="68"/>
  <c r="M105" i="68"/>
  <c r="N105" i="68"/>
  <c r="A106" i="68"/>
  <c r="B106" i="68"/>
  <c r="G106" i="68"/>
  <c r="H106" i="68"/>
  <c r="J106" i="68"/>
  <c r="K106" i="68"/>
  <c r="L106" i="68"/>
  <c r="M106" i="68"/>
  <c r="N106" i="68"/>
  <c r="A107" i="68"/>
  <c r="B107" i="68"/>
  <c r="J107" i="68"/>
  <c r="K107" i="68"/>
  <c r="L107" i="68"/>
  <c r="M107" i="68"/>
  <c r="N107" i="68"/>
  <c r="A108" i="68"/>
  <c r="B108" i="68"/>
  <c r="J108" i="68"/>
  <c r="K108" i="68"/>
  <c r="L108" i="68"/>
  <c r="M108" i="68"/>
  <c r="N108" i="68"/>
  <c r="A109" i="68"/>
  <c r="B109" i="68"/>
  <c r="J109" i="68"/>
  <c r="K109" i="68"/>
  <c r="L109" i="68"/>
  <c r="M109" i="68"/>
  <c r="N109" i="68"/>
  <c r="A110" i="68"/>
  <c r="B110" i="68"/>
  <c r="J110" i="68"/>
  <c r="K110" i="68"/>
  <c r="L110" i="68"/>
  <c r="M110" i="68"/>
  <c r="N110" i="68"/>
  <c r="A111" i="68"/>
  <c r="B111" i="68"/>
  <c r="J111" i="68"/>
  <c r="K111" i="68"/>
  <c r="L111" i="68"/>
  <c r="M111" i="68"/>
  <c r="N111" i="68"/>
  <c r="A112" i="68"/>
  <c r="B112" i="68"/>
  <c r="G112" i="68"/>
  <c r="H112" i="68"/>
  <c r="J112" i="68"/>
  <c r="K112" i="68"/>
  <c r="L112" i="68"/>
  <c r="M112" i="68"/>
  <c r="N112" i="68"/>
  <c r="A113" i="68"/>
  <c r="B113" i="68"/>
  <c r="J113" i="68"/>
  <c r="K113" i="68"/>
  <c r="L113" i="68"/>
  <c r="M113" i="68"/>
  <c r="N113" i="68"/>
  <c r="A114" i="68"/>
  <c r="B114" i="68"/>
  <c r="J114" i="68"/>
  <c r="K114" i="68"/>
  <c r="L114" i="68"/>
  <c r="M114" i="68"/>
  <c r="N114" i="68"/>
  <c r="A115" i="68"/>
  <c r="B115" i="68"/>
  <c r="J115" i="68"/>
  <c r="K115" i="68"/>
  <c r="L115" i="68"/>
  <c r="M115" i="68"/>
  <c r="N115" i="68"/>
  <c r="A116" i="68"/>
  <c r="B116" i="68"/>
  <c r="J116" i="68"/>
  <c r="K116" i="68"/>
  <c r="L116" i="68"/>
  <c r="M116" i="68"/>
  <c r="N116" i="68"/>
  <c r="A117" i="68"/>
  <c r="B117" i="68"/>
  <c r="J117" i="68"/>
  <c r="K117" i="68"/>
  <c r="L117" i="68"/>
  <c r="M117" i="68"/>
  <c r="N117" i="68"/>
  <c r="A118" i="68"/>
  <c r="B118" i="68"/>
  <c r="G118" i="68"/>
  <c r="H118" i="68"/>
  <c r="J118" i="68"/>
  <c r="K118" i="68"/>
  <c r="L118" i="68"/>
  <c r="M118" i="68"/>
  <c r="N118" i="68"/>
  <c r="A119" i="68"/>
  <c r="B119" i="68"/>
  <c r="J119" i="68"/>
  <c r="K119" i="68"/>
  <c r="L119" i="68"/>
  <c r="M119" i="68"/>
  <c r="N119" i="68"/>
  <c r="A120" i="68"/>
  <c r="B120" i="68"/>
  <c r="J120" i="68"/>
  <c r="K120" i="68"/>
  <c r="L120" i="68"/>
  <c r="M120" i="68"/>
  <c r="N120" i="68"/>
  <c r="A121" i="68"/>
  <c r="B121" i="68"/>
  <c r="J121" i="68"/>
  <c r="K121" i="68"/>
  <c r="L121" i="68"/>
  <c r="M121" i="68"/>
  <c r="N121" i="68"/>
  <c r="A122" i="68"/>
  <c r="B122" i="68"/>
  <c r="J122" i="68"/>
  <c r="K122" i="68"/>
  <c r="L122" i="68"/>
  <c r="M122" i="68"/>
  <c r="N122" i="68"/>
  <c r="A123" i="68"/>
  <c r="B123" i="68"/>
  <c r="J123" i="68"/>
  <c r="K123" i="68"/>
  <c r="L123" i="68"/>
  <c r="M123" i="68"/>
  <c r="N123" i="68"/>
  <c r="A124" i="68"/>
  <c r="B124" i="68"/>
  <c r="J124" i="68"/>
  <c r="K124" i="68"/>
  <c r="L124" i="68"/>
  <c r="M124" i="68"/>
  <c r="N124" i="68"/>
  <c r="A125" i="68"/>
  <c r="B125" i="68"/>
  <c r="J125" i="68"/>
  <c r="K125" i="68"/>
  <c r="L125" i="68"/>
  <c r="M125" i="68"/>
  <c r="N125" i="68"/>
  <c r="A126" i="68"/>
  <c r="B126" i="68"/>
  <c r="J126" i="68"/>
  <c r="K126" i="68"/>
  <c r="L126" i="68"/>
  <c r="M126" i="68"/>
  <c r="N126" i="68"/>
  <c r="A127" i="68"/>
  <c r="B127" i="68"/>
  <c r="J127" i="68"/>
  <c r="K127" i="68"/>
  <c r="L127" i="68"/>
  <c r="M127" i="68"/>
  <c r="N127" i="68"/>
  <c r="A128" i="68"/>
  <c r="B128" i="68"/>
  <c r="G128" i="68"/>
  <c r="H128" i="68"/>
  <c r="J128" i="68"/>
  <c r="K128" i="68"/>
  <c r="L128" i="68"/>
  <c r="M128" i="68"/>
  <c r="N128" i="68"/>
  <c r="A129" i="68"/>
  <c r="B129" i="68"/>
  <c r="G129" i="68"/>
  <c r="H129" i="68"/>
  <c r="J129" i="68"/>
  <c r="K129" i="68"/>
  <c r="L129" i="68"/>
  <c r="M129" i="68"/>
  <c r="N129" i="68"/>
  <c r="A130" i="68"/>
  <c r="B130" i="68"/>
  <c r="G130" i="68"/>
  <c r="H130" i="68"/>
  <c r="J130" i="68"/>
  <c r="K130" i="68"/>
  <c r="L130" i="68"/>
  <c r="M130" i="68"/>
  <c r="N130" i="68"/>
  <c r="A131" i="68"/>
  <c r="B131" i="68"/>
  <c r="G131" i="68"/>
  <c r="H131" i="68"/>
  <c r="J131" i="68"/>
  <c r="K131" i="68"/>
  <c r="L131" i="68"/>
  <c r="M131" i="68"/>
  <c r="N131" i="68"/>
  <c r="A132" i="68"/>
  <c r="B132" i="68"/>
  <c r="G132" i="68"/>
  <c r="H132" i="68"/>
  <c r="J132" i="68"/>
  <c r="K132" i="68"/>
  <c r="L132" i="68"/>
  <c r="M132" i="68"/>
  <c r="N132" i="68"/>
  <c r="A133" i="68"/>
  <c r="B133" i="68"/>
  <c r="G133" i="68"/>
  <c r="H133" i="68"/>
  <c r="J133" i="68"/>
  <c r="K133" i="68"/>
  <c r="L133" i="68"/>
  <c r="M133" i="68"/>
  <c r="N133" i="68"/>
  <c r="A134" i="68"/>
  <c r="B134" i="68"/>
  <c r="J134" i="68"/>
  <c r="K134" i="68"/>
  <c r="L134" i="68"/>
  <c r="M134" i="68"/>
  <c r="N134" i="68"/>
  <c r="A135" i="68"/>
  <c r="B135" i="68"/>
  <c r="H135" i="68"/>
  <c r="J135" i="68"/>
  <c r="K135" i="68"/>
  <c r="L135" i="68"/>
  <c r="M135" i="68"/>
  <c r="N135" i="68"/>
  <c r="A136" i="68"/>
  <c r="B136" i="68"/>
  <c r="H136" i="68"/>
  <c r="J136" i="68"/>
  <c r="K136" i="68"/>
  <c r="L136" i="68"/>
  <c r="M136" i="68"/>
  <c r="N136" i="68"/>
  <c r="A137" i="68"/>
  <c r="B137" i="68"/>
  <c r="J137" i="68"/>
  <c r="K137" i="68"/>
  <c r="L137" i="68"/>
  <c r="M137" i="68"/>
  <c r="N137" i="68"/>
  <c r="A138" i="68"/>
  <c r="B138" i="68"/>
  <c r="G138" i="68"/>
  <c r="H138" i="68"/>
  <c r="J138" i="68"/>
  <c r="K138" i="68"/>
  <c r="L138" i="68"/>
  <c r="M138" i="68"/>
  <c r="N138" i="68"/>
  <c r="A139" i="68"/>
  <c r="B139" i="68"/>
  <c r="J139" i="68"/>
  <c r="K139" i="68"/>
  <c r="L139" i="68"/>
  <c r="M139" i="68"/>
  <c r="N139" i="68"/>
  <c r="A140" i="68"/>
  <c r="B140" i="68"/>
  <c r="H140" i="68"/>
  <c r="J140" i="68"/>
  <c r="K140" i="68"/>
  <c r="L140" i="68"/>
  <c r="M140" i="68"/>
  <c r="N140" i="68"/>
  <c r="A141" i="68"/>
  <c r="B141" i="68"/>
  <c r="G141" i="68"/>
  <c r="J141" i="68"/>
  <c r="K141" i="68"/>
  <c r="L141" i="68"/>
  <c r="M141" i="68"/>
  <c r="N141" i="68"/>
  <c r="A142" i="68"/>
  <c r="B142" i="68"/>
  <c r="G142" i="68"/>
  <c r="I142" i="68"/>
  <c r="J142" i="68"/>
  <c r="K142" i="68"/>
  <c r="L142" i="68"/>
  <c r="M142" i="68"/>
  <c r="N142" i="68"/>
  <c r="A143" i="68"/>
  <c r="B143" i="68"/>
  <c r="G143" i="68"/>
  <c r="H143" i="68"/>
  <c r="J143" i="68"/>
  <c r="K143" i="68"/>
  <c r="L143" i="68"/>
  <c r="M143" i="68"/>
  <c r="N143" i="68"/>
  <c r="A144" i="68"/>
  <c r="B144" i="68"/>
  <c r="G144" i="68"/>
  <c r="J144" i="68"/>
  <c r="K144" i="68"/>
  <c r="L144" i="68"/>
  <c r="M144" i="68"/>
  <c r="N144" i="68"/>
  <c r="A145" i="68"/>
  <c r="B145" i="68"/>
  <c r="G145" i="68"/>
  <c r="H145" i="68"/>
  <c r="J145" i="68"/>
  <c r="K145" i="68"/>
  <c r="L145" i="68"/>
  <c r="M145" i="68"/>
  <c r="N145" i="68"/>
  <c r="A146" i="68"/>
  <c r="B146" i="68"/>
  <c r="H146" i="68"/>
  <c r="J146" i="68"/>
  <c r="K146" i="68"/>
  <c r="L146" i="68"/>
  <c r="M146" i="68"/>
  <c r="N146" i="68"/>
  <c r="A147" i="68"/>
  <c r="B147" i="68"/>
  <c r="G147" i="68"/>
  <c r="H147" i="68"/>
  <c r="J147" i="68"/>
  <c r="K147" i="68"/>
  <c r="L147" i="68"/>
  <c r="M147" i="68"/>
  <c r="N147" i="68"/>
  <c r="A148" i="68"/>
  <c r="B148" i="68"/>
  <c r="G148" i="68"/>
  <c r="H148" i="68"/>
  <c r="J148" i="68"/>
  <c r="K148" i="68"/>
  <c r="L148" i="68"/>
  <c r="M148" i="68"/>
  <c r="N148" i="68"/>
  <c r="A149" i="68"/>
  <c r="B149" i="68"/>
  <c r="G149" i="68"/>
  <c r="J149" i="68"/>
  <c r="K149" i="68"/>
  <c r="L149" i="68"/>
  <c r="M149" i="68"/>
  <c r="N149" i="68"/>
  <c r="A150" i="68"/>
  <c r="B150" i="68"/>
  <c r="G150" i="68"/>
  <c r="H150" i="68"/>
  <c r="I150" i="68"/>
  <c r="J150" i="68"/>
  <c r="K150" i="68"/>
  <c r="L150" i="68"/>
  <c r="M150" i="68"/>
  <c r="N150" i="68"/>
  <c r="A151" i="68"/>
  <c r="B151" i="68"/>
  <c r="G151" i="68"/>
  <c r="H151" i="68"/>
  <c r="I151" i="68"/>
  <c r="J151" i="68"/>
  <c r="K151" i="68"/>
  <c r="L151" i="68"/>
  <c r="M151" i="68"/>
  <c r="N151" i="68"/>
  <c r="A152" i="68"/>
  <c r="B152" i="68"/>
  <c r="G152" i="68"/>
  <c r="H152" i="68"/>
  <c r="J152" i="68"/>
  <c r="K152" i="68"/>
  <c r="L152" i="68"/>
  <c r="M152" i="68"/>
  <c r="N152" i="68"/>
  <c r="A153" i="68"/>
  <c r="B153" i="68"/>
  <c r="J153" i="68"/>
  <c r="K153" i="68"/>
  <c r="L153" i="68"/>
  <c r="M153" i="68"/>
  <c r="N153" i="68"/>
  <c r="A154" i="68"/>
  <c r="B154" i="68"/>
  <c r="G154" i="68"/>
  <c r="H154" i="68"/>
  <c r="J154" i="68"/>
  <c r="K154" i="68"/>
  <c r="L154" i="68"/>
  <c r="M154" i="68"/>
  <c r="N154" i="68"/>
  <c r="A155" i="68"/>
  <c r="B155" i="68"/>
  <c r="G155" i="68"/>
  <c r="H155" i="68"/>
  <c r="J155" i="68"/>
  <c r="K155" i="68"/>
  <c r="L155" i="68"/>
  <c r="M155" i="68"/>
  <c r="N155" i="68"/>
  <c r="A156" i="68"/>
  <c r="B156" i="68"/>
  <c r="G156" i="68"/>
  <c r="H156" i="68"/>
  <c r="J156" i="68"/>
  <c r="K156" i="68"/>
  <c r="L156" i="68"/>
  <c r="M156" i="68"/>
  <c r="N156" i="68"/>
  <c r="A157" i="68"/>
  <c r="B157" i="68"/>
  <c r="G157" i="68"/>
  <c r="H157" i="68"/>
  <c r="J157" i="68"/>
  <c r="K157" i="68"/>
  <c r="L157" i="68"/>
  <c r="M157" i="68"/>
  <c r="N157" i="68"/>
  <c r="A158" i="68"/>
  <c r="B158" i="68"/>
  <c r="J158" i="68"/>
  <c r="K158" i="68"/>
  <c r="L158" i="68"/>
  <c r="M158" i="68"/>
  <c r="N158" i="68"/>
  <c r="A159" i="68"/>
  <c r="B159" i="68"/>
  <c r="G159" i="68"/>
  <c r="H159" i="68"/>
  <c r="I159" i="68"/>
  <c r="J159" i="68"/>
  <c r="K159" i="68"/>
  <c r="L159" i="68"/>
  <c r="M159" i="68"/>
  <c r="N159" i="68"/>
  <c r="A160" i="68"/>
  <c r="B160" i="68"/>
  <c r="G160" i="68"/>
  <c r="H160" i="68"/>
  <c r="I160" i="68"/>
  <c r="J160" i="68"/>
  <c r="K160" i="68"/>
  <c r="L160" i="68"/>
  <c r="M160" i="68"/>
  <c r="N160" i="68"/>
  <c r="A161" i="68"/>
  <c r="B161" i="68"/>
  <c r="G161" i="68"/>
  <c r="H161" i="68"/>
  <c r="J161" i="68"/>
  <c r="K161" i="68"/>
  <c r="L161" i="68"/>
  <c r="M161" i="68"/>
  <c r="N161" i="68"/>
  <c r="A162" i="68"/>
  <c r="B162" i="68"/>
  <c r="J162" i="68"/>
  <c r="K162" i="68"/>
  <c r="L162" i="68"/>
  <c r="M162" i="68"/>
  <c r="N162" i="68"/>
  <c r="A163" i="68"/>
  <c r="B163" i="68"/>
  <c r="G163" i="68"/>
  <c r="J163" i="68"/>
  <c r="K163" i="68"/>
  <c r="L163" i="68"/>
  <c r="M163" i="68"/>
  <c r="N163" i="68"/>
  <c r="A164" i="68"/>
  <c r="B164" i="68"/>
  <c r="G164" i="68"/>
  <c r="H164" i="68"/>
  <c r="J164" i="68"/>
  <c r="K164" i="68"/>
  <c r="L164" i="68"/>
  <c r="M164" i="68"/>
  <c r="N164" i="68"/>
  <c r="A165" i="68"/>
  <c r="B165" i="68"/>
  <c r="G165" i="68"/>
  <c r="J165" i="68"/>
  <c r="K165" i="68"/>
  <c r="L165" i="68"/>
  <c r="M165" i="68"/>
  <c r="N165" i="68"/>
  <c r="A166" i="68"/>
  <c r="B166" i="68"/>
  <c r="G166" i="68"/>
  <c r="H166" i="68"/>
  <c r="J166" i="68"/>
  <c r="K166" i="68"/>
  <c r="L166" i="68"/>
  <c r="M166" i="68"/>
  <c r="N166" i="68"/>
  <c r="A167" i="68"/>
  <c r="B167" i="68"/>
  <c r="I167" i="68"/>
  <c r="J167" i="68"/>
  <c r="K167" i="68"/>
  <c r="L167" i="68"/>
  <c r="M167" i="68"/>
  <c r="N167" i="68"/>
  <c r="A168" i="68"/>
  <c r="B168" i="68"/>
  <c r="I168" i="68"/>
  <c r="J168" i="68"/>
  <c r="K168" i="68"/>
  <c r="L168" i="68"/>
  <c r="M168" i="68"/>
  <c r="N168" i="68"/>
  <c r="A169" i="68"/>
  <c r="B169" i="68"/>
  <c r="G169" i="68"/>
  <c r="H169" i="68"/>
  <c r="I169" i="68"/>
  <c r="J169" i="68"/>
  <c r="K169" i="68"/>
  <c r="L169" i="68"/>
  <c r="M169" i="68"/>
  <c r="N169" i="68"/>
  <c r="A170" i="68"/>
  <c r="B170" i="68"/>
  <c r="J170" i="68"/>
  <c r="K170" i="68"/>
  <c r="L170" i="68"/>
  <c r="M170" i="68"/>
  <c r="N170" i="68"/>
  <c r="A171" i="68"/>
  <c r="B171" i="68"/>
  <c r="J171" i="68"/>
  <c r="K171" i="68"/>
  <c r="L171" i="68"/>
  <c r="M171" i="68"/>
  <c r="N171" i="68"/>
  <c r="A172" i="68"/>
  <c r="B172" i="68"/>
  <c r="G172" i="68"/>
  <c r="J172" i="68"/>
  <c r="K172" i="68"/>
  <c r="L172" i="68"/>
  <c r="M172" i="68"/>
  <c r="N172" i="68"/>
  <c r="A173" i="68"/>
  <c r="B173" i="68"/>
  <c r="J173" i="68"/>
  <c r="K173" i="68"/>
  <c r="L173" i="68"/>
  <c r="M173" i="68"/>
  <c r="N173" i="68"/>
  <c r="A174" i="68"/>
  <c r="B174" i="68"/>
  <c r="G174" i="68"/>
  <c r="H174" i="68"/>
  <c r="J174" i="68"/>
  <c r="K174" i="68"/>
  <c r="L174" i="68"/>
  <c r="M174" i="68"/>
  <c r="N174" i="68"/>
  <c r="A175" i="68"/>
  <c r="B175" i="68"/>
  <c r="J175" i="68"/>
  <c r="K175" i="68"/>
  <c r="L175" i="68"/>
  <c r="M175" i="68"/>
  <c r="N175" i="68"/>
  <c r="A176" i="68"/>
  <c r="B176" i="68"/>
  <c r="G176" i="68"/>
  <c r="H176" i="68"/>
  <c r="I176" i="68"/>
  <c r="J176" i="68"/>
  <c r="K176" i="68"/>
  <c r="L176" i="68"/>
  <c r="M176" i="68"/>
  <c r="N176" i="68"/>
  <c r="A177" i="68"/>
  <c r="B177" i="68"/>
  <c r="G177" i="68"/>
  <c r="H177" i="68"/>
  <c r="I177" i="68"/>
  <c r="J177" i="68"/>
  <c r="K177" i="68"/>
  <c r="L177" i="68"/>
  <c r="M177" i="68"/>
  <c r="N177" i="68"/>
  <c r="A178" i="68"/>
  <c r="B178" i="68"/>
  <c r="J178" i="68"/>
  <c r="K178" i="68"/>
  <c r="L178" i="68"/>
  <c r="M178" i="68"/>
  <c r="N178" i="68"/>
  <c r="A179" i="68"/>
  <c r="B179" i="68"/>
  <c r="G179" i="68"/>
  <c r="H179" i="68"/>
  <c r="J179" i="68"/>
  <c r="K179" i="68"/>
  <c r="L179" i="68"/>
  <c r="M179" i="68"/>
  <c r="N179" i="68"/>
  <c r="A180" i="68"/>
  <c r="B180" i="68"/>
  <c r="G180" i="68"/>
  <c r="J180" i="68"/>
  <c r="K180" i="68"/>
  <c r="L180" i="68"/>
  <c r="M180" i="68"/>
  <c r="N180" i="68"/>
  <c r="A181" i="68"/>
  <c r="B181" i="68"/>
  <c r="J181" i="68"/>
  <c r="K181" i="68"/>
  <c r="L181" i="68"/>
  <c r="M181" i="68"/>
  <c r="N181" i="68"/>
  <c r="A182" i="68"/>
  <c r="B182" i="68"/>
  <c r="J182" i="68"/>
  <c r="K182" i="68"/>
  <c r="L182" i="68"/>
  <c r="M182" i="68"/>
  <c r="N182" i="68"/>
  <c r="A183" i="68"/>
  <c r="B183" i="68"/>
  <c r="G183" i="68"/>
  <c r="H183" i="68"/>
  <c r="J183" i="68"/>
  <c r="K183" i="68"/>
  <c r="L183" i="68"/>
  <c r="M183" i="68"/>
  <c r="N183" i="68"/>
  <c r="A184" i="68"/>
  <c r="B184" i="68"/>
  <c r="J184" i="68"/>
  <c r="K184" i="68"/>
  <c r="L184" i="68"/>
  <c r="M184" i="68"/>
  <c r="N184" i="68"/>
  <c r="A185" i="68"/>
  <c r="B185" i="68"/>
  <c r="G185" i="68"/>
  <c r="H185" i="68"/>
  <c r="I185" i="68"/>
  <c r="J185" i="68"/>
  <c r="K185" i="68"/>
  <c r="L185" i="68"/>
  <c r="M185" i="68"/>
  <c r="N185" i="68"/>
  <c r="A186" i="68"/>
  <c r="B186" i="68"/>
  <c r="J186" i="68"/>
  <c r="K186" i="68"/>
  <c r="L186" i="68"/>
  <c r="M186" i="68"/>
  <c r="N186" i="68"/>
  <c r="A187" i="68"/>
  <c r="B187" i="68"/>
  <c r="G187" i="68"/>
  <c r="H187" i="68"/>
  <c r="I187" i="68"/>
  <c r="J187" i="68"/>
  <c r="K187" i="68"/>
  <c r="L187" i="68"/>
  <c r="M187" i="68"/>
  <c r="N187" i="68"/>
  <c r="A188" i="68"/>
  <c r="B188" i="68"/>
  <c r="G188" i="68"/>
  <c r="H188" i="68"/>
  <c r="J188" i="68"/>
  <c r="K188" i="68"/>
  <c r="L188" i="68"/>
  <c r="M188" i="68"/>
  <c r="N188" i="68"/>
  <c r="A189" i="68"/>
  <c r="B189" i="68"/>
  <c r="J189" i="68"/>
  <c r="K189" i="68"/>
  <c r="L189" i="68"/>
  <c r="M189" i="68"/>
  <c r="N189" i="68"/>
  <c r="A190" i="68"/>
  <c r="B190" i="68"/>
  <c r="G190" i="68"/>
  <c r="H190" i="68"/>
  <c r="J190" i="68"/>
  <c r="K190" i="68"/>
  <c r="L190" i="68"/>
  <c r="M190" i="68"/>
  <c r="N190" i="68"/>
  <c r="A191" i="68"/>
  <c r="B191" i="68"/>
  <c r="G191" i="68"/>
  <c r="H191" i="68"/>
  <c r="J191" i="68"/>
  <c r="K191" i="68"/>
  <c r="L191" i="68"/>
  <c r="M191" i="68"/>
  <c r="N191" i="68"/>
  <c r="A192" i="68"/>
  <c r="B192" i="68"/>
  <c r="G192" i="68"/>
  <c r="H192" i="68"/>
  <c r="J192" i="68"/>
  <c r="K192" i="68"/>
  <c r="L192" i="68"/>
  <c r="M192" i="68"/>
  <c r="N192" i="68"/>
  <c r="A193" i="68"/>
  <c r="B193" i="68"/>
  <c r="G193" i="68"/>
  <c r="H193" i="68"/>
  <c r="J193" i="68"/>
  <c r="K193" i="68"/>
  <c r="L193" i="68"/>
  <c r="M193" i="68"/>
  <c r="N193" i="68"/>
  <c r="A194" i="68"/>
  <c r="B194" i="68"/>
  <c r="H194" i="68"/>
  <c r="I194" i="68"/>
  <c r="J194" i="68"/>
  <c r="K194" i="68"/>
  <c r="L194" i="68"/>
  <c r="M194" i="68"/>
  <c r="N194" i="68"/>
  <c r="A195" i="68"/>
  <c r="B195" i="68"/>
  <c r="H195" i="68"/>
  <c r="I195" i="68"/>
  <c r="J195" i="68"/>
  <c r="K195" i="68"/>
  <c r="L195" i="68"/>
  <c r="M195" i="68"/>
  <c r="N195" i="68"/>
  <c r="A196" i="68"/>
  <c r="B196" i="68"/>
  <c r="H196" i="68"/>
  <c r="I196" i="68"/>
  <c r="J196" i="68"/>
  <c r="K196" i="68"/>
  <c r="L196" i="68"/>
  <c r="M196" i="68"/>
  <c r="N196" i="68"/>
  <c r="A197" i="68"/>
  <c r="B197" i="68"/>
  <c r="G197" i="68"/>
  <c r="H197" i="68"/>
  <c r="J197" i="68"/>
  <c r="K197" i="68"/>
  <c r="L197" i="68"/>
  <c r="M197" i="68"/>
  <c r="N197" i="68"/>
  <c r="A198" i="68"/>
  <c r="B198" i="68"/>
  <c r="J198" i="68"/>
  <c r="K198" i="68"/>
  <c r="L198" i="68"/>
  <c r="M198" i="68"/>
  <c r="N198" i="68"/>
  <c r="A199" i="68"/>
  <c r="B199" i="68"/>
  <c r="G199" i="68"/>
  <c r="H199" i="68"/>
  <c r="J199" i="68"/>
  <c r="K199" i="68"/>
  <c r="L199" i="68"/>
  <c r="M199" i="68"/>
  <c r="N199" i="68"/>
  <c r="A200" i="68"/>
  <c r="B200" i="68"/>
  <c r="G200" i="68"/>
  <c r="J200" i="68"/>
  <c r="K200" i="68"/>
  <c r="L200" i="68"/>
  <c r="M200" i="68"/>
  <c r="N200" i="68"/>
  <c r="A201" i="68"/>
  <c r="B201" i="68"/>
  <c r="G201" i="68"/>
  <c r="J201" i="68"/>
  <c r="K201" i="68"/>
  <c r="L201" i="68"/>
  <c r="M201" i="68"/>
  <c r="N201" i="68"/>
  <c r="A202" i="68"/>
  <c r="B202" i="68"/>
  <c r="G202" i="68"/>
  <c r="H202" i="68"/>
  <c r="J202" i="68"/>
  <c r="K202" i="68"/>
  <c r="L202" i="68"/>
  <c r="M202" i="68"/>
  <c r="N202" i="68"/>
  <c r="A203" i="68"/>
  <c r="B203" i="68"/>
  <c r="G203" i="68"/>
  <c r="H203" i="68"/>
  <c r="I203" i="68"/>
  <c r="J203" i="68"/>
  <c r="K203" i="68"/>
  <c r="L203" i="68"/>
  <c r="M203" i="68"/>
  <c r="N203" i="68"/>
  <c r="A204" i="68"/>
  <c r="B204" i="68"/>
  <c r="G204" i="68"/>
  <c r="H204" i="68"/>
  <c r="J204" i="68"/>
  <c r="K204" i="68"/>
  <c r="L204" i="68"/>
  <c r="M204" i="68"/>
  <c r="N204" i="68"/>
  <c r="A205" i="68"/>
  <c r="B205" i="68"/>
  <c r="G205" i="68"/>
  <c r="H205" i="68"/>
  <c r="I205" i="68"/>
  <c r="J205" i="68"/>
  <c r="K205" i="68"/>
  <c r="L205" i="68"/>
  <c r="M205" i="68"/>
  <c r="N205" i="68"/>
  <c r="A206" i="68"/>
  <c r="B206" i="68"/>
  <c r="J206" i="68"/>
  <c r="K206" i="68"/>
  <c r="L206" i="68"/>
  <c r="M206" i="68"/>
  <c r="N206" i="68"/>
  <c r="A207" i="68"/>
  <c r="B207" i="68"/>
  <c r="J207" i="68"/>
  <c r="K207" i="68"/>
  <c r="L207" i="68"/>
  <c r="M207" i="68"/>
  <c r="N207" i="68"/>
  <c r="A208" i="68"/>
  <c r="B208" i="68"/>
  <c r="J208" i="68"/>
  <c r="K208" i="68"/>
  <c r="L208" i="68"/>
  <c r="M208" i="68"/>
  <c r="N208" i="68"/>
  <c r="A209" i="68"/>
  <c r="B209" i="68"/>
  <c r="G209" i="68"/>
  <c r="J209" i="68"/>
  <c r="K209" i="68"/>
  <c r="L209" i="68"/>
  <c r="M209" i="68"/>
  <c r="N209" i="68"/>
  <c r="A210" i="68"/>
  <c r="B210" i="68"/>
  <c r="G210" i="68"/>
  <c r="H210" i="68"/>
  <c r="J210" i="68"/>
  <c r="K210" i="68"/>
  <c r="L210" i="68"/>
  <c r="M210" i="68"/>
  <c r="N210" i="68"/>
  <c r="A211" i="68"/>
  <c r="B211" i="68"/>
  <c r="J211" i="68"/>
  <c r="K211" i="68"/>
  <c r="L211" i="68"/>
  <c r="M211" i="68"/>
  <c r="N211" i="68"/>
  <c r="A212" i="68"/>
  <c r="B212" i="68"/>
  <c r="J212" i="68"/>
  <c r="K212" i="68"/>
  <c r="L212" i="68"/>
  <c r="M212" i="68"/>
  <c r="N212" i="68"/>
  <c r="A213" i="68"/>
  <c r="B213" i="68"/>
  <c r="J213" i="68"/>
  <c r="K213" i="68"/>
  <c r="L213" i="68"/>
  <c r="M213" i="68"/>
  <c r="N213" i="68"/>
  <c r="A214" i="68"/>
  <c r="B214" i="68"/>
  <c r="J214" i="68"/>
  <c r="K214" i="68"/>
  <c r="L214" i="68"/>
  <c r="M214" i="68"/>
  <c r="N214" i="68"/>
  <c r="A215" i="68"/>
  <c r="B215" i="68"/>
  <c r="G215" i="68"/>
  <c r="H215" i="68"/>
  <c r="J215" i="68"/>
  <c r="K215" i="68"/>
  <c r="L215" i="68"/>
  <c r="M215" i="68"/>
  <c r="N215" i="68"/>
  <c r="A216" i="68"/>
  <c r="B216" i="68"/>
  <c r="G216" i="68"/>
  <c r="J216" i="68"/>
  <c r="K216" i="68"/>
  <c r="L216" i="68"/>
  <c r="M216" i="68"/>
  <c r="N216" i="68"/>
  <c r="A217" i="68"/>
  <c r="B217" i="68"/>
  <c r="J217" i="68"/>
  <c r="K217" i="68"/>
  <c r="L217" i="68"/>
  <c r="M217" i="68"/>
  <c r="N217" i="68"/>
  <c r="A218" i="68"/>
  <c r="B218" i="68"/>
  <c r="J218" i="68"/>
  <c r="K218" i="68"/>
  <c r="L218" i="68"/>
  <c r="M218" i="68"/>
  <c r="N218" i="68"/>
  <c r="A219" i="68"/>
  <c r="B219" i="68"/>
  <c r="G219" i="68"/>
  <c r="J219" i="68"/>
  <c r="K219" i="68"/>
  <c r="L219" i="68"/>
  <c r="M219" i="68"/>
  <c r="N219" i="68"/>
  <c r="A220" i="68"/>
  <c r="B220" i="68"/>
  <c r="J220" i="68"/>
  <c r="K220" i="68"/>
  <c r="L220" i="68"/>
  <c r="M220" i="68"/>
  <c r="N220" i="68"/>
  <c r="A221" i="68"/>
  <c r="B221" i="68"/>
  <c r="G221" i="68"/>
  <c r="H221" i="68"/>
  <c r="I221" i="68"/>
  <c r="J221" i="68"/>
  <c r="K221" i="68"/>
  <c r="L221" i="68"/>
  <c r="M221" i="68"/>
  <c r="N221" i="68"/>
  <c r="A222" i="68"/>
  <c r="B222" i="68"/>
  <c r="G222" i="68"/>
  <c r="H222" i="68"/>
  <c r="I222" i="68"/>
  <c r="J222" i="68"/>
  <c r="K222" i="68"/>
  <c r="L222" i="68"/>
  <c r="M222" i="68"/>
  <c r="N222" i="68"/>
  <c r="A223" i="68"/>
  <c r="B223" i="68"/>
  <c r="G223" i="68"/>
  <c r="H223" i="68"/>
  <c r="I223" i="68"/>
  <c r="J223" i="68"/>
  <c r="K223" i="68"/>
  <c r="L223" i="68"/>
  <c r="M223" i="68"/>
  <c r="N223" i="68"/>
  <c r="A224" i="68"/>
  <c r="B224" i="68"/>
  <c r="G224" i="68"/>
  <c r="H224" i="68"/>
  <c r="J224" i="68"/>
  <c r="K224" i="68"/>
  <c r="L224" i="68"/>
  <c r="M224" i="68"/>
  <c r="N224" i="68"/>
  <c r="A225" i="68"/>
  <c r="B225" i="68"/>
  <c r="J225" i="68"/>
  <c r="K225" i="68"/>
  <c r="L225" i="68"/>
  <c r="M225" i="68"/>
  <c r="N225" i="68"/>
  <c r="A226" i="68"/>
  <c r="B226" i="68"/>
  <c r="G226" i="68"/>
  <c r="H226" i="68"/>
  <c r="J226" i="68"/>
  <c r="K226" i="68"/>
  <c r="L226" i="68"/>
  <c r="M226" i="68"/>
  <c r="N226" i="68"/>
  <c r="A227" i="68"/>
  <c r="B227" i="68"/>
  <c r="G227" i="68"/>
  <c r="H227" i="68"/>
  <c r="J227" i="68"/>
  <c r="K227" i="68"/>
  <c r="L227" i="68"/>
  <c r="M227" i="68"/>
  <c r="N227" i="68"/>
  <c r="A228" i="68"/>
  <c r="B228" i="68"/>
  <c r="G228" i="68"/>
  <c r="H228" i="68"/>
  <c r="J228" i="68"/>
  <c r="K228" i="68"/>
  <c r="L228" i="68"/>
  <c r="M228" i="68"/>
  <c r="N228" i="68"/>
  <c r="A229" i="68"/>
  <c r="B229" i="68"/>
  <c r="G229" i="68"/>
  <c r="H229" i="68"/>
  <c r="J229" i="68"/>
  <c r="K229" i="68"/>
  <c r="L229" i="68"/>
  <c r="M229" i="68"/>
  <c r="N229" i="68"/>
  <c r="A230" i="68"/>
  <c r="B230" i="68"/>
  <c r="J230" i="68"/>
  <c r="K230" i="68"/>
  <c r="L230" i="68"/>
  <c r="M230" i="68"/>
  <c r="N230" i="68"/>
  <c r="A231" i="68"/>
  <c r="B231" i="68"/>
  <c r="G231" i="68"/>
  <c r="J231" i="68"/>
  <c r="K231" i="68"/>
  <c r="L231" i="68"/>
  <c r="M231" i="68"/>
  <c r="N231" i="68"/>
  <c r="A232" i="68"/>
  <c r="B232" i="68"/>
  <c r="J232" i="68"/>
  <c r="K232" i="68"/>
  <c r="L232" i="68"/>
  <c r="M232" i="68"/>
  <c r="N232" i="68"/>
  <c r="A233" i="68"/>
  <c r="B233" i="68"/>
  <c r="G233" i="68"/>
  <c r="H233" i="68"/>
  <c r="J233" i="68"/>
  <c r="K233" i="68"/>
  <c r="L233" i="68"/>
  <c r="M233" i="68"/>
  <c r="N233" i="68"/>
  <c r="A234" i="68"/>
  <c r="B234" i="68"/>
  <c r="J234" i="68"/>
  <c r="K234" i="68"/>
  <c r="L234" i="68"/>
  <c r="M234" i="68"/>
  <c r="N234" i="68"/>
  <c r="A235" i="68"/>
  <c r="B235" i="68"/>
  <c r="J235" i="68"/>
  <c r="K235" i="68"/>
  <c r="L235" i="68"/>
  <c r="M235" i="68"/>
  <c r="N235" i="68"/>
  <c r="A236" i="68"/>
  <c r="B236" i="68"/>
  <c r="H236" i="68"/>
  <c r="J236" i="68"/>
  <c r="K236" i="68"/>
  <c r="L236" i="68"/>
  <c r="M236" i="68"/>
  <c r="N236" i="68"/>
  <c r="A237" i="68"/>
  <c r="B237" i="68"/>
  <c r="J237" i="68"/>
  <c r="K237" i="68"/>
  <c r="L237" i="68"/>
  <c r="M237" i="68"/>
  <c r="N237" i="68"/>
  <c r="A238" i="68"/>
  <c r="B238" i="68"/>
  <c r="G238" i="68"/>
  <c r="H238" i="68"/>
  <c r="J238" i="68"/>
  <c r="K238" i="68"/>
  <c r="L238" i="68"/>
  <c r="M238" i="68"/>
  <c r="N238" i="68"/>
  <c r="A239" i="68"/>
  <c r="B239" i="68"/>
  <c r="H239" i="68"/>
  <c r="J239" i="68"/>
  <c r="K239" i="68"/>
  <c r="L239" i="68"/>
  <c r="M239" i="68"/>
  <c r="N239" i="68"/>
  <c r="A240" i="68"/>
  <c r="B240" i="68"/>
  <c r="J240" i="68"/>
  <c r="K240" i="68"/>
  <c r="L240" i="68"/>
  <c r="M240" i="68"/>
  <c r="N240" i="68"/>
  <c r="A241" i="68"/>
  <c r="B241" i="68"/>
  <c r="J241" i="68"/>
  <c r="K241" i="68"/>
  <c r="L241" i="68"/>
  <c r="M241" i="68"/>
  <c r="N241" i="68"/>
  <c r="A242" i="68"/>
  <c r="B242" i="68"/>
  <c r="J242" i="68"/>
  <c r="K242" i="68"/>
  <c r="L242" i="68"/>
  <c r="M242" i="68"/>
  <c r="N242" i="68"/>
  <c r="A243" i="68"/>
  <c r="B243" i="68"/>
  <c r="G243" i="68"/>
  <c r="H243" i="68"/>
  <c r="J243" i="68"/>
  <c r="K243" i="68"/>
  <c r="L243" i="68"/>
  <c r="M243" i="68"/>
  <c r="N243" i="68"/>
  <c r="A244" i="68"/>
  <c r="B244" i="68"/>
  <c r="J244" i="68"/>
  <c r="K244" i="68"/>
  <c r="L244" i="68"/>
  <c r="M244" i="68"/>
  <c r="N244" i="68"/>
  <c r="A245" i="68"/>
  <c r="B245" i="68"/>
  <c r="J245" i="68"/>
  <c r="K245" i="68"/>
  <c r="L245" i="68"/>
  <c r="M245" i="68"/>
  <c r="N245" i="68"/>
  <c r="A246" i="68"/>
  <c r="B246" i="68"/>
  <c r="J246" i="68"/>
  <c r="K246" i="68"/>
  <c r="L246" i="68"/>
  <c r="M246" i="68"/>
  <c r="N246" i="68"/>
  <c r="A247" i="68"/>
  <c r="B247" i="68"/>
  <c r="J247" i="68"/>
  <c r="K247" i="68"/>
  <c r="L247" i="68"/>
  <c r="M247" i="68"/>
  <c r="N247" i="68"/>
  <c r="A248" i="68"/>
  <c r="B248" i="68"/>
  <c r="J248" i="68"/>
  <c r="K248" i="68"/>
  <c r="L248" i="68"/>
  <c r="M248" i="68"/>
  <c r="N248" i="68"/>
  <c r="A249" i="68"/>
  <c r="B249" i="68"/>
  <c r="J249" i="68"/>
  <c r="K249" i="68"/>
  <c r="L249" i="68"/>
  <c r="M249" i="68"/>
  <c r="N249" i="68"/>
  <c r="A250" i="68"/>
  <c r="B250" i="68"/>
  <c r="J250" i="68"/>
  <c r="K250" i="68"/>
  <c r="L250" i="68"/>
  <c r="M250" i="68"/>
  <c r="N250" i="68"/>
  <c r="A251" i="68"/>
  <c r="B251" i="68"/>
  <c r="G251" i="68"/>
  <c r="H251" i="68"/>
  <c r="J251" i="68"/>
  <c r="K251" i="68"/>
  <c r="L251" i="68"/>
  <c r="M251" i="68"/>
  <c r="N251" i="68"/>
  <c r="A252" i="68"/>
  <c r="B252" i="68"/>
  <c r="G252" i="68"/>
  <c r="H252" i="68"/>
  <c r="J252" i="68"/>
  <c r="K252" i="68"/>
  <c r="L252" i="68"/>
  <c r="M252" i="68"/>
  <c r="N252" i="68"/>
  <c r="A253" i="68"/>
  <c r="B253" i="68"/>
  <c r="J253" i="68"/>
  <c r="K253" i="68"/>
  <c r="L253" i="68"/>
  <c r="M253" i="68"/>
  <c r="N253" i="68"/>
  <c r="A254" i="68"/>
  <c r="B254" i="68"/>
  <c r="J254" i="68"/>
  <c r="K254" i="68"/>
  <c r="L254" i="68"/>
  <c r="M254" i="68"/>
  <c r="N254" i="68"/>
  <c r="A255" i="68"/>
  <c r="B255" i="68"/>
  <c r="J255" i="68"/>
  <c r="K255" i="68"/>
  <c r="L255" i="68"/>
  <c r="M255" i="68"/>
  <c r="N255" i="68"/>
  <c r="A256" i="68"/>
  <c r="B256" i="68"/>
  <c r="J256" i="68"/>
  <c r="K256" i="68"/>
  <c r="L256" i="68"/>
  <c r="M256" i="68"/>
  <c r="N256" i="68"/>
  <c r="A257" i="68"/>
  <c r="B257" i="68"/>
  <c r="J257" i="68"/>
  <c r="K257" i="68"/>
  <c r="L257" i="68"/>
  <c r="M257" i="68"/>
  <c r="N257" i="68"/>
  <c r="A258" i="68"/>
  <c r="B258" i="68"/>
  <c r="H258" i="68"/>
  <c r="J258" i="68"/>
  <c r="K258" i="68"/>
  <c r="L258" i="68"/>
  <c r="M258" i="68"/>
  <c r="N258" i="68"/>
  <c r="A259" i="68"/>
  <c r="B259" i="68"/>
  <c r="G259" i="68"/>
  <c r="H259" i="68"/>
  <c r="I259" i="68"/>
  <c r="J259" i="68"/>
  <c r="K259" i="68"/>
  <c r="L259" i="68"/>
  <c r="M259" i="68"/>
  <c r="N259" i="68"/>
  <c r="A260" i="68"/>
  <c r="B260" i="68"/>
  <c r="G260" i="68"/>
  <c r="H260" i="68"/>
  <c r="J260" i="68"/>
  <c r="K260" i="68"/>
  <c r="L260" i="68"/>
  <c r="M260" i="68"/>
  <c r="N260" i="68"/>
  <c r="A261" i="68"/>
  <c r="B261" i="68"/>
  <c r="J261" i="68"/>
  <c r="K261" i="68"/>
  <c r="L261" i="68"/>
  <c r="M261" i="68"/>
  <c r="N261" i="68"/>
  <c r="A262" i="68"/>
  <c r="B262" i="68"/>
  <c r="J262" i="68"/>
  <c r="K262" i="68"/>
  <c r="L262" i="68"/>
  <c r="M262" i="68"/>
  <c r="N262" i="68"/>
  <c r="A263" i="68"/>
  <c r="B263" i="68"/>
  <c r="J263" i="68"/>
  <c r="K263" i="68"/>
  <c r="L263" i="68"/>
  <c r="M263" i="68"/>
  <c r="N263" i="68"/>
  <c r="A264" i="68"/>
  <c r="B264" i="68"/>
  <c r="J264" i="68"/>
  <c r="K264" i="68"/>
  <c r="L264" i="68"/>
  <c r="M264" i="68"/>
  <c r="N264" i="68"/>
  <c r="A265" i="68"/>
  <c r="B265" i="68"/>
  <c r="H265" i="68"/>
  <c r="J265" i="68"/>
  <c r="K265" i="68"/>
  <c r="L265" i="68"/>
  <c r="M265" i="68"/>
  <c r="N265" i="68"/>
  <c r="A266" i="68"/>
  <c r="B266" i="68"/>
  <c r="J266" i="68"/>
  <c r="K266" i="68"/>
  <c r="L266" i="68"/>
  <c r="M266" i="68"/>
  <c r="N266" i="68"/>
  <c r="A267" i="68"/>
  <c r="B267" i="68"/>
  <c r="J267" i="68"/>
  <c r="K267" i="68"/>
  <c r="L267" i="68"/>
  <c r="M267" i="68"/>
  <c r="N267" i="68"/>
  <c r="A268" i="68"/>
  <c r="B268" i="68"/>
  <c r="G268" i="68"/>
  <c r="H268" i="68"/>
  <c r="J268" i="68"/>
  <c r="K268" i="68"/>
  <c r="L268" i="68"/>
  <c r="M268" i="68"/>
  <c r="N268" i="68"/>
  <c r="A269" i="68"/>
  <c r="B269" i="68"/>
  <c r="G269" i="68"/>
  <c r="H269" i="68"/>
  <c r="J269" i="68"/>
  <c r="K269" i="68"/>
  <c r="L269" i="68"/>
  <c r="M269" i="68"/>
  <c r="N269" i="68"/>
  <c r="A270" i="68"/>
  <c r="B270" i="68"/>
  <c r="J270" i="68"/>
  <c r="K270" i="68"/>
  <c r="L270" i="68"/>
  <c r="M270" i="68"/>
  <c r="N270" i="68"/>
  <c r="A271" i="68"/>
  <c r="B271" i="68"/>
  <c r="G271" i="68"/>
  <c r="H271" i="68"/>
  <c r="J271" i="68"/>
  <c r="K271" i="68"/>
  <c r="L271" i="68"/>
  <c r="M271" i="68"/>
  <c r="N271" i="68"/>
  <c r="A272" i="68"/>
  <c r="B272" i="68"/>
  <c r="J272" i="68"/>
  <c r="K272" i="68"/>
  <c r="L272" i="68"/>
  <c r="M272" i="68"/>
  <c r="N272" i="68"/>
  <c r="A273" i="68"/>
  <c r="B273" i="68"/>
  <c r="J273" i="68"/>
  <c r="K273" i="68"/>
  <c r="L273" i="68"/>
  <c r="M273" i="68"/>
  <c r="N273" i="68"/>
  <c r="A274" i="68"/>
  <c r="B274" i="68"/>
  <c r="J274" i="68"/>
  <c r="K274" i="68"/>
  <c r="L274" i="68"/>
  <c r="M274" i="68"/>
  <c r="N274" i="68"/>
  <c r="A275" i="68"/>
  <c r="B275" i="68"/>
  <c r="H275" i="68"/>
  <c r="I275" i="68"/>
  <c r="J275" i="68"/>
  <c r="K275" i="68"/>
  <c r="L275" i="68"/>
  <c r="M275" i="68"/>
  <c r="N275" i="68"/>
  <c r="A276" i="68"/>
  <c r="B276" i="68"/>
  <c r="J276" i="68"/>
  <c r="K276" i="68"/>
  <c r="L276" i="68"/>
  <c r="M276" i="68"/>
  <c r="N276" i="68"/>
  <c r="A277" i="68"/>
  <c r="B277" i="68"/>
  <c r="G277" i="68"/>
  <c r="H277" i="68"/>
  <c r="I277" i="68"/>
  <c r="J277" i="68"/>
  <c r="K277" i="68"/>
  <c r="L277" i="68"/>
  <c r="M277" i="68"/>
  <c r="N277" i="68"/>
  <c r="A278" i="68"/>
  <c r="B278" i="68"/>
  <c r="J278" i="68"/>
  <c r="K278" i="68"/>
  <c r="L278" i="68"/>
  <c r="M278" i="68"/>
  <c r="N278" i="68"/>
  <c r="A279" i="68"/>
  <c r="B279" i="68"/>
  <c r="J279" i="68"/>
  <c r="K279" i="68"/>
  <c r="L279" i="68"/>
  <c r="M279" i="68"/>
  <c r="N279" i="68"/>
  <c r="A280" i="68"/>
  <c r="B280" i="68"/>
  <c r="J280" i="68"/>
  <c r="K280" i="68"/>
  <c r="L280" i="68"/>
  <c r="M280" i="68"/>
  <c r="N280" i="68"/>
  <c r="A281" i="68"/>
  <c r="B281" i="68"/>
  <c r="J281" i="68"/>
  <c r="K281" i="68"/>
  <c r="L281" i="68"/>
  <c r="M281" i="68"/>
  <c r="N281" i="68"/>
  <c r="A282" i="68"/>
  <c r="B282" i="68"/>
  <c r="J282" i="68"/>
  <c r="K282" i="68"/>
  <c r="L282" i="68"/>
  <c r="M282" i="68"/>
  <c r="N282" i="68"/>
  <c r="A283" i="68"/>
  <c r="B283" i="68"/>
  <c r="J283" i="68"/>
  <c r="K283" i="68"/>
  <c r="L283" i="68"/>
  <c r="M283" i="68"/>
  <c r="N283" i="68"/>
  <c r="A284" i="68"/>
  <c r="B284" i="68"/>
  <c r="J284" i="68"/>
  <c r="K284" i="68"/>
  <c r="L284" i="68"/>
  <c r="M284" i="68"/>
  <c r="N284" i="68"/>
  <c r="A285" i="68"/>
  <c r="B285" i="68"/>
  <c r="G285" i="68"/>
  <c r="J285" i="68"/>
  <c r="K285" i="68"/>
  <c r="L285" i="68"/>
  <c r="M285" i="68"/>
  <c r="N285" i="68"/>
  <c r="A286" i="68"/>
  <c r="B286" i="68"/>
  <c r="J286" i="68"/>
  <c r="K286" i="68"/>
  <c r="L286" i="68"/>
  <c r="M286" i="68"/>
  <c r="N286" i="68"/>
  <c r="A287" i="68"/>
  <c r="B287" i="68"/>
  <c r="G287" i="68"/>
  <c r="H287" i="68"/>
  <c r="J287" i="68"/>
  <c r="K287" i="68"/>
  <c r="L287" i="68"/>
  <c r="M287" i="68"/>
  <c r="N287" i="68"/>
  <c r="A288" i="68"/>
  <c r="B288" i="68"/>
  <c r="G288" i="68"/>
  <c r="H288" i="68"/>
  <c r="J288" i="68"/>
  <c r="K288" i="68"/>
  <c r="L288" i="68"/>
  <c r="M288" i="68"/>
  <c r="N288" i="68"/>
  <c r="A289" i="68"/>
  <c r="B289" i="68"/>
  <c r="J289" i="68"/>
  <c r="K289" i="68"/>
  <c r="L289" i="68"/>
  <c r="M289" i="68"/>
  <c r="N289" i="68"/>
  <c r="A290" i="68"/>
  <c r="B290" i="68"/>
  <c r="J290" i="68"/>
  <c r="K290" i="68"/>
  <c r="L290" i="68"/>
  <c r="M290" i="68"/>
  <c r="N290" i="68"/>
  <c r="A291" i="68"/>
  <c r="B291" i="68"/>
  <c r="J291" i="68"/>
  <c r="K291" i="68"/>
  <c r="L291" i="68"/>
  <c r="M291" i="68"/>
  <c r="N291" i="68"/>
  <c r="A292" i="68"/>
  <c r="B292" i="68"/>
  <c r="H292" i="68"/>
  <c r="J292" i="68"/>
  <c r="K292" i="68"/>
  <c r="L292" i="68"/>
  <c r="M292" i="68"/>
  <c r="N292" i="68"/>
  <c r="A293" i="68"/>
  <c r="B293" i="68"/>
  <c r="J293" i="68"/>
  <c r="K293" i="68"/>
  <c r="L293" i="68"/>
  <c r="M293" i="68"/>
  <c r="N293" i="68"/>
  <c r="A294" i="68"/>
  <c r="B294" i="68"/>
  <c r="J294" i="68"/>
  <c r="K294" i="68"/>
  <c r="L294" i="68"/>
  <c r="M294" i="68"/>
  <c r="N294" i="68"/>
  <c r="A295" i="68"/>
  <c r="B295" i="68"/>
  <c r="J295" i="68"/>
  <c r="K295" i="68"/>
  <c r="L295" i="68"/>
  <c r="M295" i="68"/>
  <c r="N295" i="68"/>
  <c r="A296" i="68"/>
  <c r="B296" i="68"/>
  <c r="G296" i="68"/>
  <c r="H296" i="68"/>
  <c r="J296" i="68"/>
  <c r="K296" i="68"/>
  <c r="L296" i="68"/>
  <c r="M296" i="68"/>
  <c r="N296" i="68"/>
  <c r="A297" i="68"/>
  <c r="B297" i="68"/>
  <c r="J297" i="68"/>
  <c r="K297" i="68"/>
  <c r="L297" i="68"/>
  <c r="M297" i="68"/>
  <c r="N297" i="68"/>
  <c r="A298" i="68"/>
  <c r="B298" i="68"/>
  <c r="H298" i="68"/>
  <c r="J298" i="68"/>
  <c r="K298" i="68"/>
  <c r="L298" i="68"/>
  <c r="M298" i="68"/>
  <c r="N298" i="68"/>
  <c r="A299" i="68"/>
  <c r="B299" i="68"/>
  <c r="J299" i="68"/>
  <c r="K299" i="68"/>
  <c r="L299" i="68"/>
  <c r="M299" i="68"/>
  <c r="N299" i="68"/>
  <c r="A300" i="68"/>
  <c r="B300" i="68"/>
  <c r="J300" i="68"/>
  <c r="K300" i="68"/>
  <c r="L300" i="68"/>
  <c r="M300" i="68"/>
  <c r="N300" i="68"/>
  <c r="A301" i="68"/>
  <c r="B301" i="68"/>
  <c r="H301" i="68"/>
  <c r="J301" i="68"/>
  <c r="K301" i="68"/>
  <c r="L301" i="68"/>
  <c r="M301" i="68"/>
  <c r="N301" i="68"/>
  <c r="A302" i="68"/>
  <c r="B302" i="68"/>
  <c r="I302" i="68"/>
  <c r="J302" i="68"/>
  <c r="K302" i="68"/>
  <c r="L302" i="68"/>
  <c r="M302" i="68"/>
  <c r="N302" i="68"/>
  <c r="A303" i="68"/>
  <c r="B303" i="68"/>
  <c r="H303" i="68"/>
  <c r="I303" i="68"/>
  <c r="J303" i="68"/>
  <c r="K303" i="68"/>
  <c r="L303" i="68"/>
  <c r="M303" i="68"/>
  <c r="N303" i="68"/>
  <c r="A304" i="68"/>
  <c r="B304" i="68"/>
  <c r="H304" i="68"/>
  <c r="I304" i="68"/>
  <c r="J304" i="68"/>
  <c r="K304" i="68"/>
  <c r="L304" i="68"/>
  <c r="M304" i="68"/>
  <c r="N304" i="68"/>
  <c r="A305" i="68"/>
  <c r="B305" i="68"/>
  <c r="G305" i="68"/>
  <c r="H305" i="68"/>
  <c r="J305" i="68"/>
  <c r="K305" i="68"/>
  <c r="L305" i="68"/>
  <c r="M305" i="68"/>
  <c r="N305" i="68"/>
  <c r="A306" i="68"/>
  <c r="B306" i="68"/>
  <c r="J306" i="68"/>
  <c r="K306" i="68"/>
  <c r="L306" i="68"/>
  <c r="M306" i="68"/>
  <c r="N306" i="68"/>
  <c r="A307" i="68"/>
  <c r="B307" i="68"/>
  <c r="J307" i="68"/>
  <c r="K307" i="68"/>
  <c r="L307" i="68"/>
  <c r="M307" i="68"/>
  <c r="N307" i="68"/>
  <c r="A308" i="68"/>
  <c r="B308" i="68"/>
  <c r="J308" i="68"/>
  <c r="K308" i="68"/>
  <c r="L308" i="68"/>
  <c r="M308" i="68"/>
  <c r="N308" i="68"/>
  <c r="A309" i="68"/>
  <c r="B309" i="68"/>
  <c r="J309" i="68"/>
  <c r="K309" i="68"/>
  <c r="L309" i="68"/>
  <c r="M309" i="68"/>
  <c r="N309" i="68"/>
  <c r="A310" i="68"/>
  <c r="B310" i="68"/>
  <c r="J310" i="68"/>
  <c r="K310" i="68"/>
  <c r="L310" i="68"/>
  <c r="M310" i="68"/>
  <c r="N310" i="68"/>
  <c r="A311" i="68"/>
  <c r="B311" i="68"/>
  <c r="J311" i="68"/>
  <c r="K311" i="68"/>
  <c r="L311" i="68"/>
  <c r="M311" i="68"/>
  <c r="N311" i="68"/>
  <c r="A312" i="68"/>
  <c r="B312" i="68"/>
  <c r="J312" i="68"/>
  <c r="K312" i="68"/>
  <c r="L312" i="68"/>
  <c r="M312" i="68"/>
  <c r="N312" i="68"/>
  <c r="A313" i="68"/>
  <c r="B313" i="68"/>
  <c r="G313" i="68"/>
  <c r="H313" i="68"/>
  <c r="I313" i="68"/>
  <c r="J313" i="68"/>
  <c r="K313" i="68"/>
  <c r="L313" i="68"/>
  <c r="M313" i="68"/>
  <c r="N313" i="68"/>
  <c r="A314" i="68"/>
  <c r="B314" i="68"/>
  <c r="J314" i="68"/>
  <c r="K314" i="68"/>
  <c r="L314" i="68"/>
  <c r="M314" i="68"/>
  <c r="N314" i="68"/>
  <c r="A315" i="68"/>
  <c r="B315" i="68"/>
  <c r="J315" i="68"/>
  <c r="K315" i="68"/>
  <c r="L315" i="68"/>
  <c r="M315" i="68"/>
  <c r="N315" i="68"/>
  <c r="A316" i="68"/>
  <c r="B316" i="68"/>
  <c r="J316" i="68"/>
  <c r="K316" i="68"/>
  <c r="L316" i="68"/>
  <c r="M316" i="68"/>
  <c r="N316" i="68"/>
  <c r="A317" i="68"/>
  <c r="B317" i="68"/>
  <c r="J317" i="68"/>
  <c r="K317" i="68"/>
  <c r="L317" i="68"/>
  <c r="M317" i="68"/>
  <c r="N317" i="68"/>
  <c r="A318" i="68"/>
  <c r="B318" i="68"/>
  <c r="J318" i="68"/>
  <c r="K318" i="68"/>
  <c r="L318" i="68"/>
  <c r="M318" i="68"/>
  <c r="N318" i="68"/>
  <c r="A319" i="68"/>
  <c r="B319" i="68"/>
  <c r="J319" i="68"/>
  <c r="K319" i="68"/>
  <c r="L319" i="68"/>
  <c r="M319" i="68"/>
  <c r="N319" i="68"/>
  <c r="A320" i="68"/>
  <c r="B320" i="68"/>
  <c r="J320" i="68"/>
  <c r="K320" i="68"/>
  <c r="L320" i="68"/>
  <c r="M320" i="68"/>
  <c r="N320" i="68"/>
  <c r="A321" i="68"/>
  <c r="B321" i="68"/>
  <c r="J321" i="68"/>
  <c r="K321" i="68"/>
  <c r="L321" i="68"/>
  <c r="M321" i="68"/>
  <c r="N321" i="68"/>
  <c r="A322" i="68"/>
  <c r="B322" i="68"/>
  <c r="J322" i="68"/>
  <c r="K322" i="68"/>
  <c r="L322" i="68"/>
  <c r="M322" i="68"/>
  <c r="N322" i="68"/>
  <c r="A323" i="68"/>
  <c r="B323" i="68"/>
  <c r="G323" i="68"/>
  <c r="H323" i="68"/>
  <c r="J323" i="68"/>
  <c r="K323" i="68"/>
  <c r="L323" i="68"/>
  <c r="M323" i="68"/>
  <c r="N323" i="68"/>
  <c r="A324" i="68"/>
  <c r="B324" i="68"/>
  <c r="G324" i="68"/>
  <c r="H324" i="68"/>
  <c r="J324" i="68"/>
  <c r="K324" i="68"/>
  <c r="L324" i="68"/>
  <c r="M324" i="68"/>
  <c r="N324" i="68"/>
  <c r="A325" i="68"/>
  <c r="B325" i="68"/>
  <c r="J325" i="68"/>
  <c r="K325" i="68"/>
  <c r="L325" i="68"/>
  <c r="M325" i="68"/>
  <c r="N325" i="68"/>
  <c r="A326" i="68"/>
  <c r="B326" i="68"/>
  <c r="J326" i="68"/>
  <c r="K326" i="68"/>
  <c r="L326" i="68"/>
  <c r="M326" i="68"/>
  <c r="N326" i="68"/>
  <c r="A327" i="68"/>
  <c r="B327" i="68"/>
  <c r="H327" i="68"/>
  <c r="J327" i="68"/>
  <c r="K327" i="68"/>
  <c r="L327" i="68"/>
  <c r="M327" i="68"/>
  <c r="N327" i="68"/>
  <c r="A328" i="68"/>
  <c r="B328" i="68"/>
  <c r="J328" i="68"/>
  <c r="K328" i="68"/>
  <c r="L328" i="68"/>
  <c r="M328" i="68"/>
  <c r="N328" i="68"/>
  <c r="A329" i="68"/>
  <c r="B329" i="68"/>
  <c r="G329" i="68"/>
  <c r="H329" i="68"/>
  <c r="J329" i="68"/>
  <c r="K329" i="68"/>
  <c r="L329" i="68"/>
  <c r="M329" i="68"/>
  <c r="N329" i="68"/>
  <c r="A330" i="68"/>
  <c r="B330" i="68"/>
  <c r="H330" i="68"/>
  <c r="J330" i="68"/>
  <c r="K330" i="68"/>
  <c r="L330" i="68"/>
  <c r="M330" i="68"/>
  <c r="N330" i="68"/>
  <c r="A331" i="68"/>
  <c r="B331" i="68"/>
  <c r="G331" i="68"/>
  <c r="H331" i="68"/>
  <c r="I331" i="68"/>
  <c r="J331" i="68"/>
  <c r="K331" i="68"/>
  <c r="L331" i="68"/>
  <c r="M331" i="68"/>
  <c r="N331" i="68"/>
  <c r="A332" i="68"/>
  <c r="B332" i="68"/>
  <c r="H332" i="68"/>
  <c r="J332" i="68"/>
  <c r="K332" i="68"/>
  <c r="L332" i="68"/>
  <c r="M332" i="68"/>
  <c r="N332" i="68"/>
  <c r="A333" i="68"/>
  <c r="B333" i="68"/>
  <c r="J333" i="68"/>
  <c r="K333" i="68"/>
  <c r="L333" i="68"/>
  <c r="M333" i="68"/>
  <c r="N333" i="68"/>
  <c r="A334" i="68"/>
  <c r="B334" i="68"/>
  <c r="J334" i="68"/>
  <c r="K334" i="68"/>
  <c r="L334" i="68"/>
  <c r="M334" i="68"/>
  <c r="N334" i="68"/>
  <c r="A335" i="68"/>
  <c r="B335" i="68"/>
  <c r="J335" i="68"/>
  <c r="K335" i="68"/>
  <c r="L335" i="68"/>
  <c r="M335" i="68"/>
  <c r="N335" i="68"/>
  <c r="A336" i="68"/>
  <c r="B336" i="68"/>
  <c r="J336" i="68"/>
  <c r="K336" i="68"/>
  <c r="L336" i="68"/>
  <c r="M336" i="68"/>
  <c r="N336" i="68"/>
  <c r="A337" i="68"/>
  <c r="B337" i="68"/>
  <c r="J337" i="68"/>
  <c r="K337" i="68"/>
  <c r="L337" i="68"/>
  <c r="M337" i="68"/>
  <c r="N337" i="68"/>
  <c r="A338" i="68"/>
  <c r="B338" i="68"/>
  <c r="J338" i="68"/>
  <c r="K338" i="68"/>
  <c r="L338" i="68"/>
  <c r="M338" i="68"/>
  <c r="N338" i="68"/>
  <c r="A339" i="68"/>
  <c r="B339" i="68"/>
  <c r="I339" i="68"/>
  <c r="J339" i="68"/>
  <c r="K339" i="68"/>
  <c r="L339" i="68"/>
  <c r="M339" i="68"/>
  <c r="N339" i="68"/>
  <c r="A340" i="68"/>
  <c r="B340" i="68"/>
  <c r="J340" i="68"/>
  <c r="K340" i="68"/>
  <c r="L340" i="68"/>
  <c r="M340" i="68"/>
  <c r="N340" i="68"/>
  <c r="A341" i="68"/>
  <c r="B341" i="68"/>
  <c r="J341" i="68"/>
  <c r="K341" i="68"/>
  <c r="L341" i="68"/>
  <c r="M341" i="68"/>
  <c r="N341" i="68"/>
  <c r="A342" i="68"/>
  <c r="B342" i="68"/>
  <c r="J342" i="68"/>
  <c r="K342" i="68"/>
  <c r="L342" i="68"/>
  <c r="M342" i="68"/>
  <c r="N342" i="68"/>
  <c r="A343" i="68"/>
  <c r="B343" i="68"/>
  <c r="J343" i="68"/>
  <c r="K343" i="68"/>
  <c r="L343" i="68"/>
  <c r="M343" i="68"/>
  <c r="N343" i="68"/>
  <c r="A344" i="68"/>
  <c r="B344" i="68"/>
  <c r="J344" i="68"/>
  <c r="K344" i="68"/>
  <c r="L344" i="68"/>
  <c r="M344" i="68"/>
  <c r="N344" i="68"/>
  <c r="A345" i="68"/>
  <c r="B345" i="68"/>
  <c r="J345" i="68"/>
  <c r="K345" i="68"/>
  <c r="L345" i="68"/>
  <c r="M345" i="68"/>
  <c r="N345" i="68"/>
  <c r="A346" i="68"/>
  <c r="B346" i="68"/>
  <c r="J346" i="68"/>
  <c r="K346" i="68"/>
  <c r="L346" i="68"/>
  <c r="M346" i="68"/>
  <c r="N346" i="68"/>
  <c r="A347" i="68"/>
  <c r="B347" i="68"/>
  <c r="J347" i="68"/>
  <c r="K347" i="68"/>
  <c r="L347" i="68"/>
  <c r="M347" i="68"/>
  <c r="N347" i="68"/>
  <c r="A348" i="68"/>
  <c r="B348" i="68"/>
  <c r="J348" i="68"/>
  <c r="K348" i="68"/>
  <c r="L348" i="68"/>
  <c r="M348" i="68"/>
  <c r="N348" i="68"/>
  <c r="A349" i="68"/>
  <c r="B349" i="68"/>
  <c r="I349" i="68"/>
  <c r="J349" i="68"/>
  <c r="K349" i="68"/>
  <c r="L349" i="68"/>
  <c r="M349" i="68"/>
  <c r="N349" i="68"/>
  <c r="A350" i="68"/>
  <c r="B350" i="68"/>
  <c r="J350" i="68"/>
  <c r="K350" i="68"/>
  <c r="L350" i="68"/>
  <c r="M350" i="68"/>
  <c r="N350" i="68"/>
  <c r="A351" i="68"/>
  <c r="B351" i="68"/>
  <c r="J351" i="68"/>
  <c r="K351" i="68"/>
  <c r="L351" i="68"/>
  <c r="M351" i="68"/>
  <c r="N351" i="68"/>
  <c r="A352" i="68"/>
  <c r="B352" i="68"/>
  <c r="J352" i="68"/>
  <c r="K352" i="68"/>
  <c r="L352" i="68"/>
  <c r="M352" i="68"/>
  <c r="N352" i="68"/>
  <c r="A353" i="68"/>
  <c r="B353" i="68"/>
  <c r="J353" i="68"/>
  <c r="K353" i="68"/>
  <c r="L353" i="68"/>
  <c r="M353" i="68"/>
  <c r="N353" i="68"/>
  <c r="A354" i="68"/>
  <c r="B354" i="68"/>
  <c r="G354" i="68"/>
  <c r="J354" i="68"/>
  <c r="K354" i="68"/>
  <c r="L354" i="68"/>
  <c r="M354" i="68"/>
  <c r="N354" i="68"/>
  <c r="A355" i="68"/>
  <c r="B355" i="68"/>
  <c r="J355" i="68"/>
  <c r="K355" i="68"/>
  <c r="L355" i="68"/>
  <c r="M355" i="68"/>
  <c r="N355" i="68"/>
  <c r="A356" i="68"/>
  <c r="B356" i="68"/>
  <c r="J356" i="68"/>
  <c r="K356" i="68"/>
  <c r="L356" i="68"/>
  <c r="M356" i="68"/>
  <c r="N356" i="68"/>
  <c r="A357" i="68"/>
  <c r="B357" i="68"/>
  <c r="J357" i="68"/>
  <c r="K357" i="68"/>
  <c r="L357" i="68"/>
  <c r="M357" i="68"/>
  <c r="N357" i="68"/>
  <c r="A358" i="68"/>
  <c r="B358" i="68"/>
  <c r="G358" i="68"/>
  <c r="H358" i="68"/>
  <c r="I358" i="68"/>
  <c r="J358" i="68"/>
  <c r="K358" i="68"/>
  <c r="L358" i="68"/>
  <c r="M358" i="68"/>
  <c r="N358" i="68"/>
  <c r="A359" i="68"/>
  <c r="B359" i="68"/>
  <c r="J359" i="68"/>
  <c r="K359" i="68"/>
  <c r="L359" i="68"/>
  <c r="M359" i="68"/>
  <c r="N359" i="68"/>
  <c r="A360" i="68"/>
  <c r="B360" i="68"/>
  <c r="J360" i="68"/>
  <c r="K360" i="68"/>
  <c r="L360" i="68"/>
  <c r="M360" i="68"/>
  <c r="N360" i="68"/>
  <c r="A361" i="68"/>
  <c r="B361" i="68"/>
  <c r="J361" i="68"/>
  <c r="K361" i="68"/>
  <c r="L361" i="68"/>
  <c r="M361" i="68"/>
  <c r="N361" i="68"/>
  <c r="A362" i="68"/>
  <c r="B362" i="68"/>
  <c r="J362" i="68"/>
  <c r="K362" i="68"/>
  <c r="L362" i="68"/>
  <c r="M362" i="68"/>
  <c r="N362" i="68"/>
  <c r="A363" i="68"/>
  <c r="B363" i="68"/>
  <c r="J363" i="68"/>
  <c r="K363" i="68"/>
  <c r="L363" i="68"/>
  <c r="M363" i="68"/>
  <c r="N363" i="68"/>
  <c r="A364" i="68"/>
  <c r="B364" i="68"/>
  <c r="J364" i="68"/>
  <c r="K364" i="68"/>
  <c r="L364" i="68"/>
  <c r="M364" i="68"/>
  <c r="N364" i="68"/>
  <c r="A365" i="68"/>
  <c r="B365" i="68"/>
  <c r="J365" i="68"/>
  <c r="K365" i="68"/>
  <c r="L365" i="68"/>
  <c r="M365" i="68"/>
  <c r="N365" i="68"/>
  <c r="A366" i="68"/>
  <c r="B366" i="68"/>
  <c r="J366" i="68"/>
  <c r="K366" i="68"/>
  <c r="L366" i="68"/>
  <c r="M366" i="68"/>
  <c r="N366" i="68"/>
  <c r="A367" i="68"/>
  <c r="B367" i="68"/>
  <c r="G367" i="68"/>
  <c r="H367" i="68"/>
  <c r="I367" i="68"/>
  <c r="J367" i="68"/>
  <c r="K367" i="68"/>
  <c r="L367" i="68"/>
  <c r="M367" i="68"/>
  <c r="N367" i="68"/>
  <c r="A368" i="68"/>
  <c r="B368" i="68"/>
  <c r="J368" i="68"/>
  <c r="K368" i="68"/>
  <c r="L368" i="68"/>
  <c r="M368" i="68"/>
  <c r="N368" i="68"/>
  <c r="A369" i="68"/>
  <c r="B369" i="68"/>
  <c r="J369" i="68"/>
  <c r="K369" i="68"/>
  <c r="L369" i="68"/>
  <c r="M369" i="68"/>
  <c r="N369" i="68"/>
  <c r="A370" i="68"/>
  <c r="B370" i="68"/>
  <c r="J370" i="68"/>
  <c r="K370" i="68"/>
  <c r="L370" i="68"/>
  <c r="M370" i="68"/>
  <c r="N370" i="68"/>
  <c r="A371" i="68"/>
  <c r="B371" i="68"/>
  <c r="J371" i="68"/>
  <c r="K371" i="68"/>
  <c r="L371" i="68"/>
  <c r="M371" i="68"/>
  <c r="N371" i="68"/>
  <c r="A372" i="68"/>
  <c r="B372" i="68"/>
  <c r="J372" i="68"/>
  <c r="K372" i="68"/>
  <c r="L372" i="68"/>
  <c r="M372" i="68"/>
  <c r="N372" i="68"/>
  <c r="A373" i="68"/>
  <c r="B373" i="68"/>
  <c r="H373" i="68"/>
  <c r="J373" i="68"/>
  <c r="K373" i="68"/>
  <c r="L373" i="68"/>
  <c r="M373" i="68"/>
  <c r="N373" i="68"/>
  <c r="A374" i="68"/>
  <c r="B374" i="68"/>
  <c r="J374" i="68"/>
  <c r="K374" i="68"/>
  <c r="L374" i="68"/>
  <c r="M374" i="68"/>
  <c r="N374" i="68"/>
  <c r="A375" i="68"/>
  <c r="B375" i="68"/>
  <c r="I375" i="68"/>
  <c r="J375" i="68"/>
  <c r="K375" i="68"/>
  <c r="L375" i="68"/>
  <c r="M375" i="68"/>
  <c r="N375" i="68"/>
  <c r="A376" i="68"/>
  <c r="B376" i="68"/>
  <c r="G376" i="68"/>
  <c r="H376" i="68"/>
  <c r="I376" i="68"/>
  <c r="J376" i="68"/>
  <c r="K376" i="68"/>
  <c r="L376" i="68"/>
  <c r="M376" i="68"/>
  <c r="N376" i="68"/>
  <c r="A377" i="68"/>
  <c r="B377" i="68"/>
  <c r="J377" i="68"/>
  <c r="K377" i="68"/>
  <c r="L377" i="68"/>
  <c r="M377" i="68"/>
  <c r="N377" i="68"/>
  <c r="A378" i="68"/>
  <c r="B378" i="68"/>
  <c r="J378" i="68"/>
  <c r="K378" i="68"/>
  <c r="L378" i="68"/>
  <c r="M378" i="68"/>
  <c r="N378" i="68"/>
  <c r="A379" i="68"/>
  <c r="B379" i="68"/>
  <c r="J379" i="68"/>
  <c r="K379" i="68"/>
  <c r="L379" i="68"/>
  <c r="M379" i="68"/>
  <c r="N379" i="68"/>
  <c r="A380" i="68"/>
  <c r="B380" i="68"/>
  <c r="J380" i="68"/>
  <c r="K380" i="68"/>
  <c r="L380" i="68"/>
  <c r="M380" i="68"/>
  <c r="N380" i="68"/>
  <c r="A381" i="68"/>
  <c r="B381" i="68"/>
  <c r="J381" i="68"/>
  <c r="K381" i="68"/>
  <c r="L381" i="68"/>
  <c r="M381" i="68"/>
  <c r="N381" i="68"/>
  <c r="A382" i="68"/>
  <c r="B382" i="68"/>
  <c r="J382" i="68"/>
  <c r="K382" i="68"/>
  <c r="L382" i="68"/>
  <c r="M382" i="68"/>
  <c r="N382" i="68"/>
  <c r="A383" i="68"/>
  <c r="B383" i="68"/>
  <c r="J383" i="68"/>
  <c r="K383" i="68"/>
  <c r="L383" i="68"/>
  <c r="M383" i="68"/>
  <c r="N383" i="68"/>
  <c r="A384" i="68"/>
  <c r="B384" i="68"/>
  <c r="J384" i="68"/>
  <c r="K384" i="68"/>
  <c r="L384" i="68"/>
  <c r="M384" i="68"/>
  <c r="N384" i="68"/>
  <c r="A385" i="68"/>
  <c r="B385" i="68"/>
  <c r="J385" i="68"/>
  <c r="K385" i="68"/>
  <c r="L385" i="68"/>
  <c r="M385" i="68"/>
  <c r="N385" i="68"/>
  <c r="A386" i="68"/>
  <c r="B386" i="68"/>
  <c r="J386" i="68"/>
  <c r="K386" i="68"/>
  <c r="L386" i="68"/>
  <c r="M386" i="68"/>
  <c r="N386" i="68"/>
  <c r="A387" i="68"/>
  <c r="B387" i="68"/>
  <c r="J387" i="68"/>
  <c r="K387" i="68"/>
  <c r="L387" i="68"/>
  <c r="M387" i="68"/>
  <c r="N387" i="68"/>
  <c r="A388" i="68"/>
  <c r="B388" i="68"/>
  <c r="J388" i="68"/>
  <c r="K388" i="68"/>
  <c r="L388" i="68"/>
  <c r="M388" i="68"/>
  <c r="N388" i="68"/>
  <c r="A389" i="68"/>
  <c r="B389" i="68"/>
  <c r="J389" i="68"/>
  <c r="K389" i="68"/>
  <c r="L389" i="68"/>
  <c r="M389" i="68"/>
  <c r="N389" i="68"/>
  <c r="A390" i="68"/>
  <c r="B390" i="68"/>
  <c r="J390" i="68"/>
  <c r="K390" i="68"/>
  <c r="L390" i="68"/>
  <c r="M390" i="68"/>
  <c r="N390" i="68"/>
  <c r="A391" i="68"/>
  <c r="B391" i="68"/>
  <c r="J391" i="68"/>
  <c r="K391" i="68"/>
  <c r="L391" i="68"/>
  <c r="M391" i="68"/>
  <c r="N391" i="68"/>
  <c r="A392" i="68"/>
  <c r="B392" i="68"/>
  <c r="J392" i="68"/>
  <c r="K392" i="68"/>
  <c r="L392" i="68"/>
  <c r="M392" i="68"/>
  <c r="N392" i="68"/>
  <c r="A393" i="68"/>
  <c r="B393" i="68"/>
  <c r="J393" i="68"/>
  <c r="K393" i="68"/>
  <c r="L393" i="68"/>
  <c r="M393" i="68"/>
  <c r="N393" i="68"/>
  <c r="A394" i="68"/>
  <c r="B394" i="68"/>
  <c r="J394" i="68"/>
  <c r="K394" i="68"/>
  <c r="L394" i="68"/>
  <c r="M394" i="68"/>
  <c r="N394" i="68"/>
  <c r="A395" i="68"/>
  <c r="B395" i="68"/>
  <c r="J395" i="68"/>
  <c r="K395" i="68"/>
  <c r="L395" i="68"/>
  <c r="M395" i="68"/>
  <c r="N395" i="68"/>
  <c r="A396" i="68"/>
  <c r="B396" i="68"/>
  <c r="J396" i="68"/>
  <c r="K396" i="68"/>
  <c r="L396" i="68"/>
  <c r="M396" i="68"/>
  <c r="N396" i="68"/>
  <c r="A397" i="68"/>
  <c r="B397" i="68"/>
  <c r="J397" i="68"/>
  <c r="K397" i="68"/>
  <c r="L397" i="68"/>
  <c r="M397" i="68"/>
  <c r="N397" i="68"/>
  <c r="A398" i="68"/>
  <c r="B398" i="68"/>
  <c r="J398" i="68"/>
  <c r="K398" i="68"/>
  <c r="L398" i="68"/>
  <c r="M398" i="68"/>
  <c r="N398" i="68"/>
  <c r="A399" i="68"/>
  <c r="B399" i="68"/>
  <c r="J399" i="68"/>
  <c r="K399" i="68"/>
  <c r="L399" i="68"/>
  <c r="M399" i="68"/>
  <c r="N399" i="68"/>
  <c r="A400" i="68"/>
  <c r="B400" i="68"/>
  <c r="J400" i="68"/>
  <c r="K400" i="68"/>
  <c r="L400" i="68"/>
  <c r="M400" i="68"/>
  <c r="N400" i="68"/>
  <c r="A401" i="68"/>
  <c r="B401" i="68"/>
  <c r="I401" i="68"/>
  <c r="J401" i="68"/>
  <c r="K401" i="68"/>
  <c r="L401" i="68"/>
  <c r="M401" i="68"/>
  <c r="N401" i="68"/>
  <c r="A402" i="68"/>
  <c r="B402" i="68"/>
  <c r="H402" i="68"/>
  <c r="J402" i="68"/>
  <c r="K402" i="68"/>
  <c r="L402" i="68"/>
  <c r="M402" i="68"/>
  <c r="N402" i="68"/>
  <c r="A403" i="68"/>
  <c r="B403" i="68"/>
  <c r="H403" i="68"/>
  <c r="I403" i="68"/>
  <c r="J403" i="68"/>
  <c r="K403" i="68"/>
  <c r="L403" i="68"/>
  <c r="M403" i="68"/>
  <c r="N403" i="68"/>
  <c r="A404" i="68"/>
  <c r="B404" i="68"/>
  <c r="J404" i="68"/>
  <c r="K404" i="68"/>
  <c r="L404" i="68"/>
  <c r="M404" i="68"/>
  <c r="N404" i="68"/>
  <c r="A405" i="68"/>
  <c r="B405" i="68"/>
  <c r="J405" i="68"/>
  <c r="K405" i="68"/>
  <c r="L405" i="68"/>
  <c r="M405" i="68"/>
  <c r="N405" i="68"/>
  <c r="A406" i="68"/>
  <c r="B406" i="68"/>
  <c r="J406" i="68"/>
  <c r="K406" i="68"/>
  <c r="L406" i="68"/>
  <c r="M406" i="68"/>
  <c r="N406" i="68"/>
  <c r="A407" i="68"/>
  <c r="B407" i="68"/>
  <c r="J407" i="68"/>
  <c r="K407" i="68"/>
  <c r="L407" i="68"/>
  <c r="M407" i="68"/>
  <c r="N407" i="68"/>
  <c r="A408" i="68"/>
  <c r="B408" i="68"/>
  <c r="J408" i="68"/>
  <c r="K408" i="68"/>
  <c r="L408" i="68"/>
  <c r="M408" i="68"/>
  <c r="N408" i="68"/>
  <c r="A409" i="68"/>
  <c r="B409" i="68"/>
  <c r="J409" i="68"/>
  <c r="K409" i="68"/>
  <c r="L409" i="68"/>
  <c r="M409" i="68"/>
  <c r="N409" i="68"/>
  <c r="A410" i="68"/>
  <c r="B410" i="68"/>
  <c r="J410" i="68"/>
  <c r="K410" i="68"/>
  <c r="L410" i="68"/>
  <c r="M410" i="68"/>
  <c r="N410" i="68"/>
  <c r="A411" i="68"/>
  <c r="B411" i="68"/>
  <c r="J411" i="68"/>
  <c r="K411" i="68"/>
  <c r="L411" i="68"/>
  <c r="M411" i="68"/>
  <c r="N411" i="68"/>
  <c r="A412" i="68"/>
  <c r="B412" i="68"/>
  <c r="G412" i="68"/>
  <c r="H412" i="68"/>
  <c r="I412" i="68"/>
  <c r="J412" i="68"/>
  <c r="K412" i="68"/>
  <c r="L412" i="68"/>
  <c r="M412" i="68"/>
  <c r="N412" i="68"/>
  <c r="A413" i="68"/>
  <c r="B413" i="68"/>
  <c r="J413" i="68"/>
  <c r="K413" i="68"/>
  <c r="L413" i="68"/>
  <c r="M413" i="68"/>
  <c r="N413" i="68"/>
  <c r="A414" i="68"/>
  <c r="B414" i="68"/>
  <c r="J414" i="68"/>
  <c r="K414" i="68"/>
  <c r="L414" i="68"/>
  <c r="M414" i="68"/>
  <c r="N414" i="68"/>
  <c r="A415" i="68"/>
  <c r="B415" i="68"/>
  <c r="J415" i="68"/>
  <c r="K415" i="68"/>
  <c r="L415" i="68"/>
  <c r="M415" i="68"/>
  <c r="N415" i="68"/>
  <c r="A416" i="68"/>
  <c r="B416" i="68"/>
  <c r="J416" i="68"/>
  <c r="K416" i="68"/>
  <c r="L416" i="68"/>
  <c r="M416" i="68"/>
  <c r="N416" i="68"/>
  <c r="A417" i="68"/>
  <c r="B417" i="68"/>
  <c r="J417" i="68"/>
  <c r="K417" i="68"/>
  <c r="L417" i="68"/>
  <c r="M417" i="68"/>
  <c r="N417" i="68"/>
  <c r="A418" i="68"/>
  <c r="B418" i="68"/>
  <c r="J418" i="68"/>
  <c r="K418" i="68"/>
  <c r="L418" i="68"/>
  <c r="M418" i="68"/>
  <c r="N418" i="68"/>
  <c r="A419" i="68"/>
  <c r="B419" i="68"/>
  <c r="J419" i="68"/>
  <c r="K419" i="68"/>
  <c r="L419" i="68"/>
  <c r="M419" i="68"/>
  <c r="N419" i="68"/>
  <c r="A420" i="68"/>
  <c r="B420" i="68"/>
  <c r="J420" i="68"/>
  <c r="K420" i="68"/>
  <c r="L420" i="68"/>
  <c r="M420" i="68"/>
  <c r="N420" i="68"/>
  <c r="A421" i="68"/>
  <c r="B421" i="68"/>
  <c r="G421" i="68"/>
  <c r="H421" i="68"/>
  <c r="I421" i="68"/>
  <c r="J421" i="68"/>
  <c r="K421" i="68"/>
  <c r="L421" i="68"/>
  <c r="M421" i="68"/>
  <c r="N421" i="68"/>
  <c r="A422" i="68"/>
  <c r="B422" i="68"/>
  <c r="J422" i="68"/>
  <c r="K422" i="68"/>
  <c r="L422" i="68"/>
  <c r="M422" i="68"/>
  <c r="N422" i="68"/>
  <c r="A423" i="68"/>
  <c r="B423" i="68"/>
  <c r="J423" i="68"/>
  <c r="K423" i="68"/>
  <c r="L423" i="68"/>
  <c r="M423" i="68"/>
  <c r="N423" i="68"/>
  <c r="A424" i="68"/>
  <c r="B424" i="68"/>
  <c r="J424" i="68"/>
  <c r="K424" i="68"/>
  <c r="L424" i="68"/>
  <c r="M424" i="68"/>
  <c r="N424" i="68"/>
  <c r="A425" i="68"/>
  <c r="B425" i="68"/>
  <c r="J425" i="68"/>
  <c r="K425" i="68"/>
  <c r="L425" i="68"/>
  <c r="M425" i="68"/>
  <c r="N425" i="68"/>
  <c r="A426" i="68"/>
  <c r="B426" i="68"/>
  <c r="J426" i="68"/>
  <c r="K426" i="68"/>
  <c r="L426" i="68"/>
  <c r="M426" i="68"/>
  <c r="N426" i="68"/>
  <c r="A427" i="68"/>
  <c r="B427" i="68"/>
  <c r="J427" i="68"/>
  <c r="K427" i="68"/>
  <c r="L427" i="68"/>
  <c r="M427" i="68"/>
  <c r="N427" i="68"/>
  <c r="A428" i="68"/>
  <c r="B428" i="68"/>
  <c r="J428" i="68"/>
  <c r="K428" i="68"/>
  <c r="L428" i="68"/>
  <c r="M428" i="68"/>
  <c r="N428" i="68"/>
  <c r="A429" i="68"/>
  <c r="B429" i="68"/>
  <c r="G429" i="68"/>
  <c r="H429" i="68"/>
  <c r="I429" i="68"/>
  <c r="J429" i="68"/>
  <c r="K429" i="68"/>
  <c r="L429" i="68"/>
  <c r="M429" i="68"/>
  <c r="N429" i="68"/>
  <c r="A430" i="68"/>
  <c r="B430" i="68"/>
  <c r="J430" i="68"/>
  <c r="K430" i="68"/>
  <c r="L430" i="68"/>
  <c r="M430" i="68"/>
  <c r="N430" i="68"/>
  <c r="G263" i="68" l="1"/>
</calcChain>
</file>

<file path=xl/sharedStrings.xml><?xml version="1.0" encoding="utf-8"?>
<sst xmlns="http://schemas.openxmlformats.org/spreadsheetml/2006/main" count="3872" uniqueCount="507">
  <si>
    <t>Supplier Name</t>
  </si>
  <si>
    <t>Source Language</t>
  </si>
  <si>
    <t>Service type</t>
  </si>
  <si>
    <t>Language</t>
  </si>
  <si>
    <t>Structure</t>
  </si>
  <si>
    <t>Release Platform</t>
  </si>
  <si>
    <t>Standard + Rate</t>
  </si>
  <si>
    <t>Standard Rate</t>
  </si>
  <si>
    <t>Batched Rate</t>
  </si>
  <si>
    <t>Rush Charge 1</t>
  </si>
  <si>
    <t>Rush Charge 2</t>
  </si>
  <si>
    <t>Additional Discount Offering Description</t>
  </si>
  <si>
    <t>% Discount Offered</t>
  </si>
  <si>
    <t xml:space="preserve">Notes / Additional Assumptions </t>
  </si>
  <si>
    <t>Subtitling</t>
  </si>
  <si>
    <t>Aymara</t>
  </si>
  <si>
    <t>FEATURE</t>
  </si>
  <si>
    <t>THEATRICAL RELEASE</t>
  </si>
  <si>
    <t>NON-THEATRICAL - HOME ENT/STREAMING</t>
  </si>
  <si>
    <t>NON-THEATRICAL - LINEAR BROADCAST</t>
  </si>
  <si>
    <t>EPISODIC</t>
  </si>
  <si>
    <t>HOME ENT/STREAMING</t>
  </si>
  <si>
    <t>BROADCAST/LINEAR</t>
  </si>
  <si>
    <t>DISCOVERY/NON-SCRIPTED</t>
  </si>
  <si>
    <t>Mayan</t>
  </si>
  <si>
    <t>Portuguese (Brazil)</t>
  </si>
  <si>
    <t>Quechua</t>
  </si>
  <si>
    <t>Quechua (Bolivia)</t>
  </si>
  <si>
    <t>Quechua (Ecuador)</t>
  </si>
  <si>
    <t>Quechua (Peru)</t>
  </si>
  <si>
    <t>Spanish (Colombia)</t>
  </si>
  <si>
    <t>Spanish (Mexico)</t>
  </si>
  <si>
    <t>Spanish (Latin American)</t>
  </si>
  <si>
    <t>Zapotec</t>
  </si>
  <si>
    <t>CC &amp; HOH</t>
  </si>
  <si>
    <t>Dubbing</t>
  </si>
  <si>
    <t>THEATRICAL RELEASE - DUBBING</t>
  </si>
  <si>
    <t>THEATRICAL RELEASE - MIXING</t>
  </si>
  <si>
    <t>NON-THEATRICAL - DUBBING</t>
  </si>
  <si>
    <t>NON-THEATRICAL - MIXING</t>
  </si>
  <si>
    <t>NON-THEATRICAL - LINEAR BROADCAST - DUBBING</t>
  </si>
  <si>
    <t>NON-THEATRICAL - LINEAR BROADCAST - MIXING</t>
  </si>
  <si>
    <t>EPISODIC SERIES - DUBBING</t>
  </si>
  <si>
    <t>EPISODIC SERIES - MIXING</t>
  </si>
  <si>
    <t>Audio Desc.</t>
  </si>
  <si>
    <t>VO</t>
  </si>
  <si>
    <t>LIMITED THEATRICAL - DUBBING</t>
  </si>
  <si>
    <t>LIMITED THEATRICAL - MIXING</t>
  </si>
  <si>
    <t>WBD GCO Localization Long Form RFP</t>
  </si>
  <si>
    <t>Spring 2026</t>
  </si>
  <si>
    <t>Please fill out all fields in yellow before proceeding. Rates are to be shared in the subsequent tabs.</t>
  </si>
  <si>
    <t>Supplier name:</t>
  </si>
  <si>
    <t>Supplier 1</t>
  </si>
  <si>
    <t>Source language:</t>
  </si>
  <si>
    <t>English</t>
  </si>
  <si>
    <t>Assumptions</t>
  </si>
  <si>
    <t xml:space="preserve">1. The source language is English unless otherwise noted. Vendors are welcome to submit rates for different source languages, </t>
  </si>
  <si>
    <t>but they must be submitted in separate copies of this file.</t>
  </si>
  <si>
    <t>2. All rates are submitted in USD per minute.</t>
  </si>
  <si>
    <t>WBD GCO Localization RFP - MASTER Rate Card</t>
  </si>
  <si>
    <t>Please refer to the SLAs tab for detailed descriptions, definitions, and SLAs of each content type. Each section in the table is accompanied by a corresponding definitions table for clarity.</t>
  </si>
  <si>
    <t>Please provide a rate (USD) in the yellow cells.</t>
  </si>
  <si>
    <t>SUBTITLING SERVICES</t>
  </si>
  <si>
    <t>Rush Charge 1 (%)</t>
  </si>
  <si>
    <t>Rush Charge 2 (%)</t>
  </si>
  <si>
    <t>ADDITIONAL DISCOUNT OFFERING</t>
  </si>
  <si>
    <t>No.</t>
  </si>
  <si>
    <t>Feature - Standard +</t>
  </si>
  <si>
    <t xml:space="preserve">Feature - Standard </t>
  </si>
  <si>
    <t>Episodic - Standard +</t>
  </si>
  <si>
    <t xml:space="preserve">Episodic - Standard </t>
  </si>
  <si>
    <t>1 day</t>
  </si>
  <si>
    <t>2 days</t>
  </si>
  <si>
    <t xml:space="preserve">Discount Offering Description - please provide additional discount offer based on use of any method that achieves efficiency and cost benefit (tools, workflow, etc). </t>
  </si>
  <si>
    <t xml:space="preserve">Provide any additional information or assumptions </t>
  </si>
  <si>
    <t>Tools</t>
  </si>
  <si>
    <t>Note 1</t>
  </si>
  <si>
    <t>Workflow</t>
  </si>
  <si>
    <t>Automated system</t>
  </si>
  <si>
    <t>CC &amp; HOH SERVICES</t>
  </si>
  <si>
    <t>Note 2</t>
  </si>
  <si>
    <t>DUBBING SERVICES</t>
  </si>
  <si>
    <t>NON-THEATRICAL</t>
  </si>
  <si>
    <t>EPISODIC SERIES</t>
  </si>
  <si>
    <t>Feature - Standard +
DUBBING</t>
  </si>
  <si>
    <t>Feature - Standard +
MIXING</t>
  </si>
  <si>
    <t>Feature - Standard 
DUBBING</t>
  </si>
  <si>
    <t>Feature - Standard 
MIXING</t>
  </si>
  <si>
    <t>Feature - Standard
MIXING</t>
  </si>
  <si>
    <t xml:space="preserve">Feature - Standard
DUBBING </t>
  </si>
  <si>
    <t>Single Episode - Standard +
DUBBING</t>
  </si>
  <si>
    <t>Single Episode - Standard +
MIXING</t>
  </si>
  <si>
    <t>Single Episode - Standard
DUBBING</t>
  </si>
  <si>
    <t>Single Episode - Standard
MIXING</t>
  </si>
  <si>
    <t>Full Series or Batched Episodes
DUBBING</t>
  </si>
  <si>
    <t>Full Series or Batched Episodes
MIXING</t>
  </si>
  <si>
    <t>Single Episode - Standard +</t>
  </si>
  <si>
    <t>Single Episode - Standard</t>
  </si>
  <si>
    <t>Full Series or Batched Episodes</t>
  </si>
  <si>
    <t>Note 3</t>
  </si>
  <si>
    <t>AUDIO DESCRIPTION SERVICES</t>
  </si>
  <si>
    <t>Note 4</t>
  </si>
  <si>
    <t>VOICEOVER SERVICES</t>
  </si>
  <si>
    <t>LIMITED THEATRICAL</t>
  </si>
  <si>
    <t>Note 5</t>
  </si>
  <si>
    <t>This page intentionally left blank.</t>
  </si>
  <si>
    <t>WBD GCO Localization RFP - SLAs</t>
  </si>
  <si>
    <t>Below are the correlating SLAs for each requested service. There are a total of 5 tables - Subtitilng, CC&amp;HOH, Dubbing, Audio Description, and Voiceover.</t>
  </si>
  <si>
    <t>Type of work</t>
  </si>
  <si>
    <t>THEATRICAL</t>
  </si>
  <si>
    <t>ALL CONTENT TYPES - HOME ENT/STREAMING
Home Entertainment, Broadcast, SVOD, VOD…</t>
  </si>
  <si>
    <t>ALL CONTENT TYPES - LINEAR/BROADCAST
Linear Broadcast Servicing Channel.</t>
  </si>
  <si>
    <t xml:space="preserve">ALL CONTENT TYPES - LINEAR/BROADCAST
Linear Broadcast servicing Channel </t>
  </si>
  <si>
    <t>DISCOVERY / NON-SCRIPTED</t>
  </si>
  <si>
    <t>SLA</t>
  </si>
  <si>
    <t>Standard+</t>
  </si>
  <si>
    <t>Standard</t>
  </si>
  <si>
    <t xml:space="preserve">Standard </t>
  </si>
  <si>
    <t>Standard +</t>
  </si>
  <si>
    <t>Turnaround Time in Calendar Days - Final Materials to vendor and Localized Content Delivery</t>
  </si>
  <si>
    <t>6-9 days for Feature</t>
  </si>
  <si>
    <t>≥ 28 days for Feature</t>
  </si>
  <si>
    <t>≥ 10 days for Feature</t>
  </si>
  <si>
    <t>6 - 10 calendar days</t>
  </si>
  <si>
    <t>≥ 11 calendar  days</t>
  </si>
  <si>
    <t>3-5 calendar days for Episodic (from final)</t>
  </si>
  <si>
    <t>≥ 6  calendar days for Episodic (Half Hour)</t>
  </si>
  <si>
    <t xml:space="preserve">3- 9 calendar days </t>
  </si>
  <si>
    <t>≥ 10 calendar  days</t>
  </si>
  <si>
    <t xml:space="preserve">3-13 calendar days </t>
  </si>
  <si>
    <t>≥ 14 calendar  days</t>
  </si>
  <si>
    <t>Localization Function</t>
  </si>
  <si>
    <t>Activity</t>
  </si>
  <si>
    <t>Warner Bros. Discovery Consolidated Subtitling Rates Cards are based on the below service requirements</t>
  </si>
  <si>
    <t>SOURCE MATERIALS SUPPLIED FROM CLIENT</t>
  </si>
  <si>
    <r>
      <rPr>
        <b/>
        <sz val="11"/>
        <rFont val="Calibri"/>
        <family val="2"/>
        <scheme val="minor"/>
      </rPr>
      <t>Audio &amp; Visual Content</t>
    </r>
    <r>
      <rPr>
        <sz val="11"/>
        <rFont val="Calibri"/>
        <family val="2"/>
        <scheme val="minor"/>
      </rPr>
      <t xml:space="preserve">
Prelim (Network, Locked) or Final
(Low-Res or HD digital file; no physical)</t>
    </r>
  </si>
  <si>
    <t>Locked Prelim and Final AV Materials
(Note - addtional iterations can be can be provided by client if required)</t>
  </si>
  <si>
    <t>Final AV Materials</t>
  </si>
  <si>
    <t xml:space="preserve">Prelim (if required) and Final AV Materials </t>
  </si>
  <si>
    <t xml:space="preserve"> Final AV Materials </t>
  </si>
  <si>
    <t>Scripts &amp; Creative Documentation: Original Version Language
(Ref Source Materials Definition Tab)</t>
  </si>
  <si>
    <t>Client to provide.
If no English script or equivalent provided, additional charge may apply</t>
  </si>
  <si>
    <t>Final Video Master
When Video Master deliverable required</t>
  </si>
  <si>
    <t>Client to provide error free final video &amp; audio, balanced M&amp;E, textless at tail (if needed).
Vendor to perform 3-point check QC upon receipt, noting issues within 48 hours</t>
  </si>
  <si>
    <t>Client to provide error free final video &amp; audio
Vendor to perform 3-point check QC upon receipt, noting issues within 48 hours</t>
  </si>
  <si>
    <t>SECURITY TIERS</t>
  </si>
  <si>
    <t>Applying security measures
to Reference Materials
(Ref Security Tiers Definition Tab)</t>
  </si>
  <si>
    <t>Tier MAX or 0. If Tier MAX required, additional charge may apply
(security level to be discussed with client on each title)</t>
  </si>
  <si>
    <t>Vendor to provide secure access for translators / approvers to subtitling SaaS Platform. Additional watermarking must be applied by the system to ensure access is traceable to those granted access.</t>
  </si>
  <si>
    <t>TRANSLATION</t>
  </si>
  <si>
    <t>Translator selection</t>
  </si>
  <si>
    <t>Client Translator selection.
If vendor translator is required to ensure native speaker translator.</t>
  </si>
  <si>
    <t xml:space="preserve">Vendor responsible for providing Native Speaker translator, client reserves the right to participate in translator selection. </t>
  </si>
  <si>
    <t xml:space="preserve">Vendor responsible for providing Native Speaker translator, client reserves the right to participate in translator selection </t>
  </si>
  <si>
    <t>Vendor responsible for providing Native Speaker translator.</t>
  </si>
  <si>
    <t>Vendor responsible for providing Native Speaker translator, client reserves the right to participate in translator selection</t>
  </si>
  <si>
    <t>Linguistic &amp; Technical QC</t>
  </si>
  <si>
    <t>Native Speaker Linguistic QC &amp; Full Technical QC included.
Changes to be approved by client translator/approver</t>
  </si>
  <si>
    <t>Native Speaker Linguistic QC &amp; Full Linear Technical QC included.</t>
  </si>
  <si>
    <t>Linguistic QC possible at additional charge. 
Technical QC included</t>
  </si>
  <si>
    <t>Compliance</t>
  </si>
  <si>
    <t>Censorship and / or softening of language for certain content may be required. Any potential sensitivities must be flagged to client, especially children's content.</t>
  </si>
  <si>
    <t>NA</t>
  </si>
  <si>
    <t>Translator's credit</t>
  </si>
  <si>
    <t>To be included on all subtitle files, unless client advises otherwise.</t>
  </si>
  <si>
    <t>CLIENT APPROVAL</t>
  </si>
  <si>
    <r>
      <rPr>
        <b/>
        <sz val="11"/>
        <rFont val="Calibri"/>
        <family val="2"/>
        <scheme val="minor"/>
      </rPr>
      <t>Subtitles Approvals</t>
    </r>
    <r>
      <rPr>
        <sz val="11"/>
        <rFont val="Calibri"/>
        <family val="2"/>
        <scheme val="minor"/>
      </rPr>
      <t xml:space="preserve">
Non-Physical release</t>
    </r>
  </si>
  <si>
    <t>Where client approvals are required, time for the approvals must be pre-agreed. If approvals are not received within agreed timelines, client is notified to determine next steps i.e extend deadline, proceed, etc</t>
  </si>
  <si>
    <t>Where client approvals are required, time for the approvals must be pre-agreed.
If approvals are not received within agreed timelines, the timeline can be extended as appropriate and as agreed by both parties.</t>
  </si>
  <si>
    <t>No Client Approvals</t>
  </si>
  <si>
    <r>
      <t>Where client approvals are required, time for the approvals must be pre-agreed.
If approvals are not received within agreed timelines, the timeline can be extended as appropriate and as agreed by both parties.</t>
    </r>
    <r>
      <rPr>
        <b/>
        <i/>
        <sz val="11"/>
        <rFont val="Calibri"/>
        <family val="2"/>
        <scheme val="minor"/>
      </rPr>
      <t xml:space="preserve">
</t>
    </r>
    <r>
      <rPr>
        <sz val="11"/>
        <rFont val="Calibri"/>
        <family val="2"/>
        <scheme val="minor"/>
      </rPr>
      <t xml:space="preserve">Included in price. </t>
    </r>
  </si>
  <si>
    <t>Client Approvals may be requested at no additional charge.</t>
  </si>
  <si>
    <r>
      <rPr>
        <b/>
        <sz val="11"/>
        <rFont val="Calibri"/>
        <family val="2"/>
        <scheme val="minor"/>
      </rPr>
      <t>Subtitles Approvals</t>
    </r>
    <r>
      <rPr>
        <sz val="11"/>
        <rFont val="Calibri"/>
        <family val="2"/>
        <scheme val="minor"/>
      </rPr>
      <t xml:space="preserve">
Physical release</t>
    </r>
  </si>
  <si>
    <t>Where client approvals are required, time for the approvals must be pre-agreed. If approvals are not received within agreed timelines, vendor notifies client to determine next steps i.e extend deadline, proceed, etc
Included in price.
All subs for Home Video release to be sent to the emulation QC vendor for pre-check before delivering to authoring. Pre-Delivery is done as XML with .BMP associated with content related media.</t>
  </si>
  <si>
    <t>Where client approvals are required, time for the approvals must be pre-agreed.
If approvals are not received within agreed timelines, the timeline can be extended as appropriate and as agreed by both parties.
Included in price.
All subs for Home Video release to be sent to the emulation QC vendor for pre-check before delivering to authoring. Pre-Delivery is done as XML with .BMP associated with content related media.</t>
  </si>
  <si>
    <r>
      <t xml:space="preserve">Where client approvals are required, time for the approvals must be pre-agreed. If approvals are not received within agreed timelines, vendor notifies client to determine next steps i.e extend deadline, proceed, etc 
Included in price. 
All subs for </t>
    </r>
    <r>
      <rPr>
        <b/>
        <sz val="11"/>
        <rFont val="Calibri"/>
        <family val="2"/>
        <scheme val="minor"/>
      </rPr>
      <t>Home Video</t>
    </r>
    <r>
      <rPr>
        <sz val="11"/>
        <rFont val="Calibri"/>
        <family val="2"/>
        <scheme val="minor"/>
      </rPr>
      <t xml:space="preserve"> release to be sent to the emulation QC vendor for pre-check before delivering to authoring. Pre-Delivery is done as XML with .BMP associated with content related media. </t>
    </r>
  </si>
  <si>
    <r>
      <t xml:space="preserve">Where client approvals are required, time for the approvals must be pre-agreed.
If approvals are not received within agreed timelines, the timeline can be extended as appropriate and as agreed by both parties.
Included in price. 
All subs for </t>
    </r>
    <r>
      <rPr>
        <b/>
        <sz val="11"/>
        <rFont val="Calibri"/>
        <family val="2"/>
        <scheme val="minor"/>
      </rPr>
      <t>Home Video</t>
    </r>
    <r>
      <rPr>
        <sz val="11"/>
        <rFont val="Calibri"/>
        <family val="2"/>
        <scheme val="minor"/>
      </rPr>
      <t xml:space="preserve"> release to be sent to the emulation QC vendor for pre-check before delivering to authoring. Pre-Delivery is done as XML with .BMP associated with content related media. </t>
    </r>
  </si>
  <si>
    <t xml:space="preserve">Where client approvals are required, time for the approvals must be pre-agreed. If approvals are not received within agreed timelines, vendor notifies client to determine next steps i.e extend deadline, proceed, etc
Included in price. 
</t>
  </si>
  <si>
    <r>
      <t>Where client approvals are required, time for the approvals must be pre-agreed.
If approvals are not received within agreed timelines, the timeline can be extended as appropriate and as agreed by both parties.</t>
    </r>
    <r>
      <rPr>
        <b/>
        <i/>
        <sz val="11"/>
        <rFont val="Calibri"/>
        <family val="2"/>
        <scheme val="minor"/>
      </rPr>
      <t xml:space="preserve">
</t>
    </r>
    <r>
      <rPr>
        <sz val="11"/>
        <rFont val="Calibri"/>
        <family val="2"/>
        <scheme val="minor"/>
      </rPr>
      <t xml:space="preserve">Included in price. 
</t>
    </r>
  </si>
  <si>
    <t>SONGS</t>
  </si>
  <si>
    <t>Songs Translation</t>
  </si>
  <si>
    <t>If plot pertinent, and has both been requested by client and confirmation lyrics have been cleared for translation. Additional charge.</t>
  </si>
  <si>
    <t>Plot pertinent and cleared lyrics will be subtitled If requested by Client</t>
  </si>
  <si>
    <t>DELIVERABLES</t>
  </si>
  <si>
    <t>Format</t>
  </si>
  <si>
    <r>
      <t xml:space="preserve">Includes one set of final deliverables to multiple end users, formats to be agreed with client.
</t>
    </r>
    <r>
      <rPr>
        <i/>
        <sz val="11"/>
        <rFont val="Calibri"/>
        <family val="2"/>
        <scheme val="minor"/>
      </rPr>
      <t xml:space="preserve">Maybe change "to be agreed" to "as currently agreed".
</t>
    </r>
    <r>
      <rPr>
        <sz val="11"/>
        <rFont val="Calibri"/>
        <family val="2"/>
        <scheme val="minor"/>
      </rPr>
      <t xml:space="preserve">
</t>
    </r>
    <r>
      <rPr>
        <i/>
        <sz val="11"/>
        <rFont val="Calibri"/>
        <family val="2"/>
        <scheme val="minor"/>
      </rPr>
      <t>Upload to 2/3 x endpoints?
DETE/NEST/Keystone.
HBO uploading to more than 2.
Could have 1 format and 1 delivery with the assumption that in the future we will insource additional deliverables/endpoints in the future.</t>
    </r>
  </si>
  <si>
    <t>Includes one set of final deliverables to multiple end users, formats to be agreed with client.</t>
  </si>
  <si>
    <t>ISSUES / REDELIVERIES</t>
  </si>
  <si>
    <t>Non-Physical release</t>
  </si>
  <si>
    <t>Vendor has an obligation to deliver accurate translated subtitle files, (this does not cover subjective difference). Egregious creative errors or technical errors must be remediated by vendor.</t>
  </si>
  <si>
    <t>Vendor has an obligation to deliver accurate translated subtitle files, (this does not cover subjective difference).  Egregious creative errors or technical errors must be remediated by vendor.</t>
  </si>
  <si>
    <t>Physical release</t>
  </si>
  <si>
    <t>Upon receipt of QC report from 3rd party vendor, fixes will be redelivered within 48 hours.</t>
  </si>
  <si>
    <t>N/A</t>
  </si>
  <si>
    <t>ARCHIVE/ BACK UP</t>
  </si>
  <si>
    <t>Additional deliverables</t>
  </si>
  <si>
    <t>Per WBD requirements. Additional charge may apply</t>
  </si>
  <si>
    <t>Vendor Archive included</t>
  </si>
  <si>
    <t>BUYOUT RIGHTS</t>
  </si>
  <si>
    <t>Rights to be secured by vendor on behalf of WBD client</t>
  </si>
  <si>
    <t>All rights, all formats in perpetuity, theatrical rights included (or the equivalent legal requirements in each territory).</t>
  </si>
  <si>
    <t>Maximum copyright term duration permitted by law in territory</t>
  </si>
  <si>
    <t>All rights, in all media, (excluding Theatrical).</t>
  </si>
  <si>
    <t>CLOSED CAPTIONING (CC) &amp; HARD OF HEARING (HOH) SERVICES</t>
  </si>
  <si>
    <t xml:space="preserve">Type of work </t>
  </si>
  <si>
    <t>ALL CONTENT TYPES - LINEAR/BROADCAST
Linear Broadcast Servicing Channel</t>
  </si>
  <si>
    <t>≤ 6 calendar days</t>
  </si>
  <si>
    <t>2-5 calendar days for Episodic (from final)</t>
  </si>
  <si>
    <t xml:space="preserve">2- 5 calendar days </t>
  </si>
  <si>
    <t>Warner Media Consolidated Subtitling Rates Cards are based on the below service requirements</t>
  </si>
  <si>
    <r>
      <rPr>
        <b/>
        <sz val="11"/>
        <color rgb="FF000000"/>
        <rFont val="Calibri"/>
        <family val="2"/>
        <scheme val="minor"/>
      </rPr>
      <t>Audio &amp; Visual Content</t>
    </r>
    <r>
      <rPr>
        <sz val="11"/>
        <color rgb="FF000000"/>
        <rFont val="Calibri"/>
        <family val="2"/>
        <scheme val="minor"/>
      </rPr>
      <t xml:space="preserve">
Prelim (Network, Locked) or Final
(Low-Res or HD digital file; no physical)</t>
    </r>
  </si>
  <si>
    <r>
      <rPr>
        <b/>
        <sz val="11"/>
        <color rgb="FF000000"/>
        <rFont val="Calibri"/>
        <family val="2"/>
        <scheme val="minor"/>
      </rPr>
      <t xml:space="preserve">Scripts &amp; Creative Documentation:
</t>
    </r>
    <r>
      <rPr>
        <b/>
        <sz val="11"/>
        <color theme="1"/>
        <rFont val="Calibri"/>
        <family val="2"/>
        <scheme val="minor"/>
      </rPr>
      <t xml:space="preserve"> Original Version  Language</t>
    </r>
    <r>
      <rPr>
        <b/>
        <sz val="11"/>
        <color rgb="FF000000"/>
        <rFont val="Calibri"/>
        <family val="2"/>
        <scheme val="minor"/>
      </rPr>
      <t xml:space="preserve">
</t>
    </r>
    <r>
      <rPr>
        <sz val="11"/>
        <color rgb="FF000000"/>
        <rFont val="Calibri"/>
        <family val="2"/>
        <scheme val="minor"/>
      </rPr>
      <t>(Ref Source Materials Definition Tab)</t>
    </r>
  </si>
  <si>
    <r>
      <rPr>
        <b/>
        <sz val="11"/>
        <rFont val="Calibri"/>
        <family val="2"/>
        <scheme val="minor"/>
      </rPr>
      <t xml:space="preserve">Final Video Master </t>
    </r>
    <r>
      <rPr>
        <sz val="11"/>
        <rFont val="Calibri"/>
        <family val="2"/>
        <scheme val="minor"/>
      </rPr>
      <t xml:space="preserve">
When Video Master deliverable required</t>
    </r>
  </si>
  <si>
    <t xml:space="preserve">SECURITY TIERS </t>
  </si>
  <si>
    <r>
      <rPr>
        <b/>
        <sz val="11"/>
        <rFont val="Calibri"/>
        <family val="2"/>
        <scheme val="minor"/>
      </rPr>
      <t xml:space="preserve">Applying security measures 
to Reference Materials
</t>
    </r>
    <r>
      <rPr>
        <sz val="11"/>
        <rFont val="Calibri"/>
        <family val="2"/>
        <scheme val="minor"/>
      </rPr>
      <t>(Ref Security Tiers Definition Tab)</t>
    </r>
  </si>
  <si>
    <t xml:space="preserve"> Tier MAX or 0.  If Tier MAX required, additional charge may apply
(security level to be discussed with client on each title)</t>
  </si>
  <si>
    <t xml:space="preserve">Where client approvals are required, time for the approvals must be pre-agreed.
If approvals are not received within agreed timelines, the timeline can be extended as appropriate and as agreed by both parties.
</t>
  </si>
  <si>
    <r>
      <t>Where client approvals are required, time for the approvals must be pre-agreed.
If approvals are not received within agreed timelines, the timeline can be extended as appropriate and as agreed by both parties.</t>
    </r>
    <r>
      <rPr>
        <b/>
        <i/>
        <sz val="11"/>
        <color theme="1"/>
        <rFont val="Calibri"/>
        <family val="2"/>
        <scheme val="minor"/>
      </rPr>
      <t xml:space="preserve">
</t>
    </r>
    <r>
      <rPr>
        <sz val="11"/>
        <color theme="1"/>
        <rFont val="Calibri"/>
        <family val="2"/>
        <scheme val="minor"/>
      </rPr>
      <t xml:space="preserve">Included in price. </t>
    </r>
  </si>
  <si>
    <r>
      <t xml:space="preserve">Where client approvals are required, time for the approvals must be pre-agreed. If approvals are not received within agreed timelines, vendor notifies client to determine next steps i.e extend deadline, proceed, etc 
Included in price. 
All subs for </t>
    </r>
    <r>
      <rPr>
        <b/>
        <sz val="11"/>
        <color theme="1"/>
        <rFont val="Calibri"/>
        <family val="2"/>
        <scheme val="minor"/>
      </rPr>
      <t>Home Video</t>
    </r>
    <r>
      <rPr>
        <sz val="11"/>
        <color theme="1"/>
        <rFont val="Calibri"/>
        <family val="2"/>
        <scheme val="minor"/>
      </rPr>
      <t xml:space="preserve"> release to be sent to the emulation QC vendor for pre-check before delivering to authoring. Pre-Delivery is done as XML with .BMP associated with content related media. </t>
    </r>
  </si>
  <si>
    <r>
      <t xml:space="preserve">Where client approvals are required, time for the approvals must be pre-agreed.
If approvals are not received within agreed timelines, the timeline can be extended as appropriate and as agreed by both parties.
Included in price. 
All subs for </t>
    </r>
    <r>
      <rPr>
        <b/>
        <sz val="11"/>
        <color theme="1"/>
        <rFont val="Calibri"/>
        <family val="2"/>
        <scheme val="minor"/>
      </rPr>
      <t>Home Video</t>
    </r>
    <r>
      <rPr>
        <sz val="11"/>
        <color theme="1"/>
        <rFont val="Calibri"/>
        <family val="2"/>
        <scheme val="minor"/>
      </rPr>
      <t xml:space="preserve"> release to be sent to the emulation QC vendor for pre-check before delivering to authoring. Pre-Delivery is done as XML with .BMP associated with content related media. </t>
    </r>
  </si>
  <si>
    <r>
      <t>Where client approvals are required, time for the approvals must be pre-agreed.
If approvals are not received within agreed timelines, the timeline can be extended as appropriate and as agreed by both parties.</t>
    </r>
    <r>
      <rPr>
        <b/>
        <i/>
        <sz val="11"/>
        <color theme="1"/>
        <rFont val="Calibri"/>
        <family val="2"/>
        <scheme val="minor"/>
      </rPr>
      <t xml:space="preserve">
</t>
    </r>
    <r>
      <rPr>
        <sz val="11"/>
        <color theme="1"/>
        <rFont val="Calibri"/>
        <family val="2"/>
        <scheme val="minor"/>
      </rPr>
      <t xml:space="preserve">Included in price. 
</t>
    </r>
  </si>
  <si>
    <t xml:space="preserve">Songs Translation </t>
  </si>
  <si>
    <t xml:space="preserve">DELIVERABLES </t>
  </si>
  <si>
    <t xml:space="preserve">Includes one set of final deliverables to multiple end users, formats to be agreed with client.
</t>
  </si>
  <si>
    <t>Includes one format  file deliverables to one location.  Additional charge for any more  formats and multiple end users.</t>
  </si>
  <si>
    <t xml:space="preserve">ARCHIVE/ BACK UP </t>
  </si>
  <si>
    <t xml:space="preserve">BUYOUT RIGHTS </t>
  </si>
  <si>
    <t>Unrestricted.  Theatrical rights not included.</t>
  </si>
  <si>
    <t>NON-THEATRICAL LINEAR BROADCAST</t>
  </si>
  <si>
    <t xml:space="preserve">EPISODIC
</t>
  </si>
  <si>
    <t xml:space="preserve">DISCOVERY / NON-SCRIPTED
</t>
  </si>
  <si>
    <t>Full Series or Batched Epsiodes</t>
  </si>
  <si>
    <t>Single / Batch</t>
  </si>
  <si>
    <t>Single</t>
  </si>
  <si>
    <t>Batch</t>
  </si>
  <si>
    <t>Turnaround Time: Final Materials to vendor &gt; Localized Content Delivery</t>
  </si>
  <si>
    <t xml:space="preserve"> &lt; 6 weeks</t>
  </si>
  <si>
    <t xml:space="preserve"> &gt; 6 weeks +</t>
  </si>
  <si>
    <t>&lt; 7 calendar days</t>
  </si>
  <si>
    <t>&gt; 8 calendar days</t>
  </si>
  <si>
    <t>&gt; 28 days for for first batch delivery, cadence for balance of deliveries to be confirmed based on number of epsiodes</t>
  </si>
  <si>
    <t>WBD Consolidated Dubbing Rates Cards are based on the below service requirements</t>
  </si>
  <si>
    <t>ORDERING</t>
  </si>
  <si>
    <t>Content Description</t>
  </si>
  <si>
    <t xml:space="preserve">Feature Animation / Live Action 
</t>
  </si>
  <si>
    <t xml:space="preserve">Feature Animation/ Live Action 
</t>
  </si>
  <si>
    <t xml:space="preserve">Episodic: single episode, accelerated, requiring non-final materials
</t>
  </si>
  <si>
    <t xml:space="preserve">Episodic: single episode,
may require prelim materials
</t>
  </si>
  <si>
    <t xml:space="preserve">Working from final with episodes available at one time </t>
  </si>
  <si>
    <t>MATERIALS PROVIDED BY CLIENT
&amp; VENDOR'S EXPECTATIONS</t>
  </si>
  <si>
    <r>
      <rPr>
        <b/>
        <sz val="11"/>
        <rFont val="Calibri"/>
        <family val="2"/>
        <scheme val="minor"/>
      </rPr>
      <t xml:space="preserve">Audio Visual Content
</t>
    </r>
    <r>
      <rPr>
        <sz val="11"/>
        <rFont val="Calibri"/>
        <family val="2"/>
        <scheme val="minor"/>
      </rPr>
      <t xml:space="preserve">Prelim (Network, Locked) or Final
(Low-Res or HD digital file)
</t>
    </r>
  </si>
  <si>
    <r>
      <t xml:space="preserve">Locked Prelim and Final AV Materials 
</t>
    </r>
    <r>
      <rPr>
        <sz val="10"/>
        <rFont val="Calibri"/>
        <family val="2"/>
        <scheme val="minor"/>
      </rPr>
      <t>(Note - addtional iterations can be can be provided by client if required)</t>
    </r>
  </si>
  <si>
    <t>Locked Prelim (if required) and Final AV Materials.</t>
  </si>
  <si>
    <r>
      <t xml:space="preserve">Locked Prelim and Final AV Materials 
</t>
    </r>
    <r>
      <rPr>
        <sz val="10"/>
        <rFont val="Calibri"/>
        <family val="2"/>
        <scheme val="minor"/>
      </rPr>
      <t>(Note - Network can be provided by client if required)</t>
    </r>
  </si>
  <si>
    <t>Locked Prelim and
Final AV Materials</t>
  </si>
  <si>
    <t>Prelim (Network and / or Locked) and Final AV Materials</t>
  </si>
  <si>
    <t>Locked Prelim and Final AV Materials 
(Note - Network can be provided by client if required)</t>
  </si>
  <si>
    <t>Final AV Materials. 
(Note - Prelim can be provided by client if required)</t>
  </si>
  <si>
    <t>. Final AV Materials. 
Locked Prelim (where required).</t>
  </si>
  <si>
    <r>
      <rPr>
        <b/>
        <sz val="11"/>
        <rFont val="Calibri"/>
        <family val="2"/>
        <scheme val="minor"/>
      </rPr>
      <t>Audio Files</t>
    </r>
    <r>
      <rPr>
        <sz val="11"/>
        <rFont val="Calibri"/>
        <family val="2"/>
        <scheme val="minor"/>
      </rPr>
      <t xml:space="preserve">: 
Print masters, Stems, and M&amp;Es. </t>
    </r>
    <r>
      <rPr>
        <i/>
        <sz val="11"/>
        <rFont val="Calibri"/>
        <family val="2"/>
        <scheme val="minor"/>
      </rPr>
      <t>Optionals, when</t>
    </r>
    <r>
      <rPr>
        <sz val="11"/>
        <rFont val="Calibri"/>
        <family val="2"/>
        <scheme val="minor"/>
      </rPr>
      <t xml:space="preserve"> </t>
    </r>
    <r>
      <rPr>
        <i/>
        <sz val="11"/>
        <rFont val="Calibri"/>
        <family val="2"/>
        <scheme val="minor"/>
      </rPr>
      <t>available.</t>
    </r>
  </si>
  <si>
    <t xml:space="preserve"> Client to provide</t>
  </si>
  <si>
    <r>
      <rPr>
        <b/>
        <sz val="11"/>
        <rFont val="Calibri"/>
        <family val="2"/>
        <scheme val="minor"/>
      </rPr>
      <t xml:space="preserve">Scripts &amp; Creative Documentation:
Original Version  Language
</t>
    </r>
    <r>
      <rPr>
        <sz val="10"/>
        <rFont val="Calibri"/>
        <family val="2"/>
        <scheme val="minor"/>
      </rPr>
      <t>(Ref Source Materials Definition Tab)</t>
    </r>
  </si>
  <si>
    <t>Client to provide.
Client may request vendor to create scripts at additional charge</t>
  </si>
  <si>
    <r>
      <rPr>
        <b/>
        <sz val="11"/>
        <rFont val="Calibri"/>
        <family val="2"/>
        <scheme val="minor"/>
      </rPr>
      <t>Key Names and Phrases</t>
    </r>
    <r>
      <rPr>
        <sz val="11"/>
        <rFont val="Calibri"/>
        <family val="2"/>
        <scheme val="minor"/>
      </rPr>
      <t xml:space="preserve">
Glossary Terms + Character Names</t>
    </r>
  </si>
  <si>
    <t>OV English Glossary / KNP to be provided by client, if available.</t>
  </si>
  <si>
    <r>
      <rPr>
        <b/>
        <sz val="11"/>
        <rFont val="Calibri"/>
        <family val="2"/>
        <scheme val="minor"/>
      </rPr>
      <t xml:space="preserve">Metadata 
</t>
    </r>
    <r>
      <rPr>
        <sz val="11"/>
        <rFont val="Calibri"/>
        <family val="2"/>
        <scheme val="minor"/>
      </rPr>
      <t>Title, Short synopsis, Long synopsis</t>
    </r>
  </si>
  <si>
    <t xml:space="preserve">WBD to provide metadata template at the same timeframe as reference materials </t>
  </si>
  <si>
    <t xml:space="preserve"> WBD to provide metadata template at the same timeframe as reference materials</t>
  </si>
  <si>
    <t xml:space="preserve"> WBD to provide metadata template at the same timeframe as refererence materials </t>
  </si>
  <si>
    <t xml:space="preserve"> WBD to provide metadata template at the same timeframe asreference materials</t>
  </si>
  <si>
    <r>
      <rPr>
        <b/>
        <sz val="11"/>
        <rFont val="Calibri"/>
        <family val="2"/>
        <scheme val="minor"/>
      </rPr>
      <t>Voice Testing</t>
    </r>
    <r>
      <rPr>
        <sz val="11"/>
        <rFont val="Calibri"/>
        <family val="2"/>
        <scheme val="minor"/>
      </rPr>
      <t xml:space="preserve">
VT Kit creation</t>
    </r>
  </si>
  <si>
    <t>If required, WBD to provide Studio with voice tests kits. 
If not available, vendor can create for an additional charge.</t>
  </si>
  <si>
    <t>WBD to provide Studio with voice tests kits. 
If not available, vendor can create for an additional charge.</t>
  </si>
  <si>
    <t>Client to provide error free final video &amp; audio, balanced M&amp;E, textless at tail (if needed).
Vendor to perform 3-point check QC upon receipt.</t>
  </si>
  <si>
    <r>
      <rPr>
        <b/>
        <sz val="11"/>
        <rFont val="Calibri"/>
        <family val="2"/>
        <scheme val="minor"/>
      </rPr>
      <t xml:space="preserve">Final Compliance Audio or/and Video  Master </t>
    </r>
    <r>
      <rPr>
        <sz val="11"/>
        <rFont val="Calibri"/>
        <family val="2"/>
        <scheme val="minor"/>
      </rPr>
      <t xml:space="preserve">
When Compliance Master deliverable required</t>
    </r>
  </si>
  <si>
    <t>Client to provide compliance error free final video or/  &amp; audio, balanced M&amp;E, textless at tail (if needed)  14 days prior delivery due date.
Vendor to perform 3-point check QC upon receipt.</t>
  </si>
  <si>
    <r>
      <rPr>
        <b/>
        <sz val="11"/>
        <rFont val="Calibri"/>
        <family val="2"/>
        <scheme val="minor"/>
      </rPr>
      <t xml:space="preserve">Applying security measures 
to Reference Materials
</t>
    </r>
    <r>
      <rPr>
        <sz val="10"/>
        <rFont val="Calibri"/>
        <family val="2"/>
        <scheme val="minor"/>
      </rPr>
      <t>(Ref Security Tiers Definition Tab)</t>
    </r>
  </si>
  <si>
    <t xml:space="preserve"> Tier 2 or 3.  If Tier 1 required, additional charge may apply</t>
  </si>
  <si>
    <t xml:space="preserve"> Tier 2 or 3.</t>
  </si>
  <si>
    <t>CLIENT APPROVAL RIGHTS</t>
  </si>
  <si>
    <r>
      <rPr>
        <b/>
        <sz val="11"/>
        <rFont val="Calibri"/>
        <family val="2"/>
        <scheme val="minor"/>
      </rPr>
      <t xml:space="preserve">Creative Localization Approvals
</t>
    </r>
    <r>
      <rPr>
        <sz val="11"/>
        <rFont val="Calibri"/>
        <family val="2"/>
        <scheme val="minor"/>
      </rPr>
      <t xml:space="preserve">(translated script, glossary, metadata, synopsis &amp; screeners of final dub version for review) </t>
    </r>
  </si>
  <si>
    <t xml:space="preserve">Where client approvals are required, time for the approvals must be pre-agreed.
If approvals are not received within agreed timelines, the timeline can be extended as appropriate and as agreed by both parties.
Additional cancellation fees may be charged in some circumstance.
Included in price. </t>
  </si>
  <si>
    <r>
      <t xml:space="preserve">Casting
</t>
    </r>
    <r>
      <rPr>
        <sz val="11"/>
        <rFont val="Calibri"/>
        <family val="2"/>
        <scheme val="minor"/>
      </rPr>
      <t>(VTK and Voice Sample requirements)</t>
    </r>
  </si>
  <si>
    <t>Voice Samples included.
Casting to VTK is an additional charge (max 3 tests per character, to be agreed at beginning of project)</t>
  </si>
  <si>
    <t>Voice Samples may be requested and are included in price.
Casting to VTK is an additional charge (max 3 tests per character, to be agreed at beginning of project)</t>
  </si>
  <si>
    <t>Voice approval may be requested, at client discretion.</t>
  </si>
  <si>
    <t xml:space="preserve">Star Talent Uplift </t>
  </si>
  <si>
    <t xml:space="preserve">Star Talent Uplift not included </t>
  </si>
  <si>
    <t>Star Talent Uplift not included, can be additional charge.</t>
  </si>
  <si>
    <t xml:space="preserve">Star Talent may be requested by client, additional charge would apply. </t>
  </si>
  <si>
    <t xml:space="preserve">Child actors for child roles </t>
  </si>
  <si>
    <t xml:space="preserve">Child actors for child roles or vocals can be an additional charge. </t>
  </si>
  <si>
    <t xml:space="preserve">Child actors for child roles or vocals can be requested, additional charges would apply. </t>
  </si>
  <si>
    <r>
      <rPr>
        <b/>
        <sz val="11"/>
        <rFont val="Calibri"/>
        <family val="2"/>
        <scheme val="minor"/>
      </rPr>
      <t>Recording Location</t>
    </r>
    <r>
      <rPr>
        <sz val="11"/>
        <rFont val="Calibri"/>
        <family val="2"/>
        <scheme val="minor"/>
      </rPr>
      <t xml:space="preserve">
(assuming in Territories)</t>
    </r>
  </si>
  <si>
    <t>In territory, alternative location to be agreed and approved by WBD. If WBD require recording in a specific city location, uplifts may be applied</t>
  </si>
  <si>
    <t>At vendor's discretion providing decision is transparent to WBD. If WBD require recording in a specific city location, uplifts may be applied</t>
  </si>
  <si>
    <t xml:space="preserve">NUMBER OF TALENTS </t>
  </si>
  <si>
    <r>
      <rPr>
        <b/>
        <sz val="11"/>
        <rFont val="Calibri"/>
        <family val="2"/>
        <scheme val="minor"/>
      </rPr>
      <t>Number of talents</t>
    </r>
    <r>
      <rPr>
        <sz val="11"/>
        <rFont val="Calibri"/>
        <family val="2"/>
        <scheme val="minor"/>
      </rPr>
      <t xml:space="preserve"> to be used for the content</t>
    </r>
  </si>
  <si>
    <t>Local standard assumptions to be applied as to the number of dubbing actors needed for a project.</t>
  </si>
  <si>
    <t xml:space="preserve">LINE COUNT </t>
  </si>
  <si>
    <r>
      <rPr>
        <b/>
        <sz val="11"/>
        <rFont val="Calibri"/>
        <family val="2"/>
        <scheme val="minor"/>
      </rPr>
      <t>Number of lines</t>
    </r>
    <r>
      <rPr>
        <sz val="11"/>
        <rFont val="Calibri"/>
        <family val="2"/>
        <scheme val="minor"/>
      </rPr>
      <t xml:space="preserve"> (or loops) per min for the content that needs to be localized
</t>
    </r>
    <r>
      <rPr>
        <sz val="10"/>
        <rFont val="Calibri"/>
        <family val="2"/>
        <scheme val="minor"/>
      </rPr>
      <t xml:space="preserve">(Ref Line count Definition Tab) </t>
    </r>
  </si>
  <si>
    <t>If over or under standard, additional charge or discount may apply</t>
  </si>
  <si>
    <r>
      <rPr>
        <b/>
        <sz val="11"/>
        <color rgb="FF000000"/>
        <rFont val="Calibri"/>
        <family val="2"/>
        <scheme val="minor"/>
      </rPr>
      <t xml:space="preserve">SONGS </t>
    </r>
    <r>
      <rPr>
        <sz val="11"/>
        <color rgb="FF000000"/>
        <rFont val="Calibri"/>
        <family val="2"/>
        <scheme val="minor"/>
      </rPr>
      <t xml:space="preserve">
(Songs Definition Tab)</t>
    </r>
  </si>
  <si>
    <r>
      <rPr>
        <b/>
        <sz val="11"/>
        <rFont val="Calibri"/>
        <family val="2"/>
        <scheme val="minor"/>
      </rPr>
      <t>Opening Song Recording</t>
    </r>
    <r>
      <rPr>
        <sz val="11"/>
        <rFont val="Calibri"/>
        <family val="2"/>
        <scheme val="minor"/>
      </rPr>
      <t xml:space="preserve"> </t>
    </r>
  </si>
  <si>
    <t>If requested by client and lyrics have been cleared for translation and dubbing.  Additional charge.</t>
  </si>
  <si>
    <t>Included in all languages_x000D_
(Exception may apply)</t>
  </si>
  <si>
    <r>
      <rPr>
        <b/>
        <sz val="11"/>
        <rFont val="Calibri"/>
        <family val="2"/>
        <scheme val="minor"/>
      </rPr>
      <t>Songs Recording</t>
    </r>
    <r>
      <rPr>
        <sz val="11"/>
        <rFont val="Calibri"/>
        <family val="2"/>
        <scheme val="minor"/>
      </rPr>
      <t xml:space="preserve"> (within episode)</t>
    </r>
  </si>
  <si>
    <t>If plot pertinent, and has both been requested by client and confirmation lyrics have been cleared for translation and dubbing.  Additional charge.</t>
  </si>
  <si>
    <t>MIXING</t>
  </si>
  <si>
    <t>Mixing Type</t>
  </si>
  <si>
    <t>All mixing costs must be a separate line item in all pricing and bids. 
5.1 &amp; 7.1 included.
Additional charge for ATMOS if requested.</t>
  </si>
  <si>
    <t>All mixing costs must be a separate line item in all pricing and bids. 
2.0 &amp; 5.1 included.
Additional charge for ATMOS if requested.</t>
  </si>
  <si>
    <t>2.0 &amp; 5.1</t>
  </si>
  <si>
    <t>2.0 / Stereo Only. If 5.1 required, must be requested and agreed at the start of a project.</t>
  </si>
  <si>
    <t xml:space="preserve">Mixing Location </t>
  </si>
  <si>
    <t xml:space="preserve">Mixing location will be at vendor's discretion providing decision is transparent to WBD, if WBD require mixing in a specific location, uplifts may be applied.  
WBD may designate mixing be done by a separate company, or internally to WBD.  </t>
  </si>
  <si>
    <t>At vendor's discretion providing decision is transparent to WBD. If WBD require mixing in a specific location, uplifts may be applied</t>
  </si>
  <si>
    <t>Audio File Delivery; i.e. to Digital Cinema Lab &amp; DETE</t>
  </si>
  <si>
    <t>Vendor to deliver audio file to WBD agreed specification</t>
  </si>
  <si>
    <t>Script &amp; Insert Report; i.e. to WBD &amp; NEST</t>
  </si>
  <si>
    <t>Vendor to provide as recorded script &amp; translated insert report</t>
  </si>
  <si>
    <r>
      <t xml:space="preserve">Key Names and Phrases
</t>
    </r>
    <r>
      <rPr>
        <sz val="11"/>
        <rFont val="Calibri"/>
        <family val="2"/>
        <scheme val="minor"/>
      </rPr>
      <t>Glossary Terms + Character Names</t>
    </r>
  </si>
  <si>
    <t>Localized Translated KNP included</t>
  </si>
  <si>
    <t>Vendor to provide Localized Translated KNP.</t>
  </si>
  <si>
    <r>
      <rPr>
        <b/>
        <sz val="11"/>
        <rFont val="Calibri"/>
        <family val="2"/>
        <scheme val="minor"/>
      </rPr>
      <t xml:space="preserve">Metadata </t>
    </r>
    <r>
      <rPr>
        <sz val="11"/>
        <rFont val="Calibri"/>
        <family val="2"/>
        <scheme val="minor"/>
      </rPr>
      <t xml:space="preserve">
Episode title, short episode synopsis, season synopsis.  </t>
    </r>
  </si>
  <si>
    <t xml:space="preserve">Metadata translation included at no additional charge if Metadata available within the same timeframe as scripts </t>
  </si>
  <si>
    <t xml:space="preserve">Metadata translation included at no additional charge if Metadata available within the same timeframe as reference materials </t>
  </si>
  <si>
    <t>Metadata translation included at no additional charge if Metadata available within the same timeframe as reference materials</t>
  </si>
  <si>
    <t>Upon request, metadata translation can be included at no additional charge if Metadata available within the same timeframe as reference materials</t>
  </si>
  <si>
    <t>Dub card/Credit list Creation</t>
  </si>
  <si>
    <t>Dub card/Credit list as a text based format or graphic card per territory requirements. Additional charge for requests made after completion of the language</t>
  </si>
  <si>
    <t>Dub card/Credit list as a text based format or graphic card per territory requirements. Additional charge for Video or requests made after completion of language.</t>
  </si>
  <si>
    <t>Dub Card / Credit list as a text based format or graphic card per territory requirements. Additional charge may be applied for requests made after completion of language.</t>
  </si>
  <si>
    <t>AOR - Assignment of Rights</t>
  </si>
  <si>
    <t>Vendor must secure all signatures on AORs and deliver to WBD as physical or scanned documents at completion of project or upon request.</t>
  </si>
  <si>
    <t>Vendor shall gather all signatures on AORs and be able to deliver to WBD as physical or scanned documents upon request</t>
  </si>
  <si>
    <t>BUYOUT RIGHTS &amp; DURATION</t>
  </si>
  <si>
    <t>Duration Localization vendor must secured on behalf of WBD</t>
  </si>
  <si>
    <t>Rights Localization vendor must secured on behalf of WBD</t>
  </si>
  <si>
    <t>Final Protools session, Screeners, Dialogue Stems…</t>
  </si>
  <si>
    <t>Per WBD requirements.</t>
  </si>
  <si>
    <t>To be agreed with WBD per project. Additional charge may apply</t>
  </si>
  <si>
    <t>Vendor archive included</t>
  </si>
  <si>
    <t xml:space="preserve">Full Series or Batched Epsiodes
</t>
  </si>
  <si>
    <t xml:space="preserve"> &lt; 6weeks</t>
  </si>
  <si>
    <t>&gt;= 8 calendar days</t>
  </si>
  <si>
    <t>&gt;= 28 days for for first batch delivery, cadence for balance of deliveries to be confirmed based on number of epsiodes</t>
  </si>
  <si>
    <t>WBD Consolidated Rates Cards are based on the below service requirements</t>
  </si>
  <si>
    <t>Episodic: single episode,
Work from final</t>
  </si>
  <si>
    <r>
      <rPr>
        <b/>
        <sz val="11"/>
        <color rgb="FF000000"/>
        <rFont val="Calibri"/>
        <family val="2"/>
        <scheme val="minor"/>
      </rPr>
      <t xml:space="preserve">Audio Visual Content
</t>
    </r>
    <r>
      <rPr>
        <sz val="11"/>
        <color rgb="FF000000"/>
        <rFont val="Calibri"/>
        <family val="2"/>
        <scheme val="minor"/>
      </rPr>
      <t xml:space="preserve">Prelim (Network, Locked) or Final
(Low-Res or HD digital file)
</t>
    </r>
  </si>
  <si>
    <r>
      <t xml:space="preserve">Locked Prelim and Final AV Materials 
</t>
    </r>
    <r>
      <rPr>
        <sz val="10"/>
        <color rgb="FF000000"/>
        <rFont val="Calibri"/>
        <family val="2"/>
        <scheme val="minor"/>
      </rPr>
      <t>(Note - Network can be provided by client if required)</t>
    </r>
  </si>
  <si>
    <r>
      <rPr>
        <b/>
        <sz val="11"/>
        <color rgb="FF000000"/>
        <rFont val="Calibri"/>
        <family val="2"/>
        <scheme val="minor"/>
      </rPr>
      <t>Audio Files</t>
    </r>
    <r>
      <rPr>
        <sz val="11"/>
        <color rgb="FF000000"/>
        <rFont val="Calibri"/>
        <family val="2"/>
        <scheme val="minor"/>
      </rPr>
      <t>: 
Print masters</t>
    </r>
  </si>
  <si>
    <r>
      <rPr>
        <b/>
        <sz val="11"/>
        <color rgb="FF000000"/>
        <rFont val="Calibri"/>
        <family val="2"/>
      </rPr>
      <t xml:space="preserve">Scripts &amp; Creative Documentation:
</t>
    </r>
    <r>
      <rPr>
        <sz val="11"/>
        <color rgb="FF000000"/>
        <rFont val="Calibri"/>
        <family val="2"/>
      </rPr>
      <t>Original Language Version 
and/or Localized Version Script where applicable
(Ref Source Materials Definition Tab)</t>
    </r>
  </si>
  <si>
    <t>Client to provide</t>
  </si>
  <si>
    <t>Client to provide.</t>
  </si>
  <si>
    <r>
      <rPr>
        <b/>
        <sz val="11"/>
        <color rgb="FF000000"/>
        <rFont val="Calibri"/>
        <family val="2"/>
        <scheme val="minor"/>
      </rPr>
      <t>Key Names and Phrases</t>
    </r>
    <r>
      <rPr>
        <sz val="11"/>
        <color rgb="FF000000"/>
        <rFont val="Calibri"/>
        <family val="2"/>
        <scheme val="minor"/>
      </rPr>
      <t xml:space="preserve">
Glossary Terms + Character Names</t>
    </r>
  </si>
  <si>
    <t xml:space="preserve">Client to provide when available </t>
  </si>
  <si>
    <t>Client to provide when available</t>
  </si>
  <si>
    <r>
      <rPr>
        <b/>
        <sz val="11"/>
        <color rgb="FF000000"/>
        <rFont val="Calibri"/>
        <family val="2"/>
        <scheme val="minor"/>
      </rPr>
      <t xml:space="preserve">Metadata 
</t>
    </r>
    <r>
      <rPr>
        <sz val="11"/>
        <color rgb="FF000000"/>
        <rFont val="Calibri"/>
        <family val="2"/>
        <scheme val="minor"/>
      </rPr>
      <t>Title, Short synopsis, Long synopsis</t>
    </r>
  </si>
  <si>
    <r>
      <rPr>
        <b/>
        <sz val="11"/>
        <color rgb="FF000000"/>
        <rFont val="Calibri"/>
        <family val="2"/>
        <scheme val="minor"/>
      </rPr>
      <t>Voice Testing</t>
    </r>
    <r>
      <rPr>
        <sz val="11"/>
        <color rgb="FF000000"/>
        <rFont val="Calibri"/>
        <family val="2"/>
        <scheme val="minor"/>
      </rPr>
      <t xml:space="preserve">
VT Kit creation</t>
    </r>
  </si>
  <si>
    <r>
      <rPr>
        <b/>
        <sz val="11"/>
        <color rgb="FF000000"/>
        <rFont val="Calibri"/>
        <family val="2"/>
        <scheme val="minor"/>
      </rPr>
      <t xml:space="preserve">Final Video Master </t>
    </r>
    <r>
      <rPr>
        <sz val="11"/>
        <color rgb="FF000000"/>
        <rFont val="Calibri"/>
        <family val="2"/>
        <scheme val="minor"/>
      </rPr>
      <t xml:space="preserve">
When Video Master deliverable required</t>
    </r>
  </si>
  <si>
    <r>
      <rPr>
        <b/>
        <sz val="11"/>
        <color rgb="FF000000"/>
        <rFont val="Calibri"/>
        <family val="2"/>
        <scheme val="minor"/>
      </rPr>
      <t xml:space="preserve">Final Compliance Audio or/and Video  Master </t>
    </r>
    <r>
      <rPr>
        <sz val="11"/>
        <color rgb="FF000000"/>
        <rFont val="Calibri"/>
        <family val="2"/>
        <scheme val="minor"/>
      </rPr>
      <t xml:space="preserve">
When Compliance Master deliverable required</t>
    </r>
  </si>
  <si>
    <r>
      <rPr>
        <b/>
        <sz val="11"/>
        <color rgb="FF000000"/>
        <rFont val="Calibri"/>
        <family val="2"/>
        <scheme val="minor"/>
      </rPr>
      <t xml:space="preserve">Applying security measures 
to Reference Materials
</t>
    </r>
    <r>
      <rPr>
        <sz val="10"/>
        <color rgb="FF000000"/>
        <rFont val="Calibri"/>
        <family val="2"/>
        <scheme val="minor"/>
      </rPr>
      <t>(Ref Security Tiers Definition Tab)</t>
    </r>
  </si>
  <si>
    <r>
      <rPr>
        <b/>
        <sz val="11"/>
        <color rgb="FF000000"/>
        <rFont val="Calibri"/>
        <family val="2"/>
        <scheme val="minor"/>
      </rPr>
      <t xml:space="preserve">Creative Approvals
</t>
    </r>
    <r>
      <rPr>
        <sz val="11"/>
        <color rgb="FF000000"/>
        <rFont val="Calibri"/>
        <family val="2"/>
        <scheme val="minor"/>
      </rPr>
      <t xml:space="preserve">(AD script &amp; screeners of final version for review) </t>
    </r>
  </si>
  <si>
    <r>
      <rPr>
        <b/>
        <sz val="11"/>
        <color rgb="FF000000"/>
        <rFont val="Calibri"/>
        <family val="2"/>
        <scheme val="minor"/>
      </rPr>
      <t xml:space="preserve">Casting
</t>
    </r>
    <r>
      <rPr>
        <sz val="11"/>
        <color rgb="FF000000"/>
        <rFont val="Calibri"/>
        <family val="2"/>
        <scheme val="minor"/>
      </rPr>
      <t>(Voice Sample requirements)</t>
    </r>
  </si>
  <si>
    <t>Voice Samples included</t>
  </si>
  <si>
    <r>
      <rPr>
        <b/>
        <sz val="11"/>
        <color rgb="FF000000"/>
        <rFont val="Calibri"/>
        <family val="2"/>
        <scheme val="minor"/>
      </rPr>
      <t>Recording Location</t>
    </r>
    <r>
      <rPr>
        <sz val="11"/>
        <color rgb="FF000000"/>
        <rFont val="Calibri"/>
        <family val="2"/>
        <scheme val="minor"/>
      </rPr>
      <t xml:space="preserve">
(assuming in Territories)</t>
    </r>
  </si>
  <si>
    <t>One is standard, additional charge may apply when multiple voices are required</t>
  </si>
  <si>
    <t>(Where applicable) One is standard, additional charge may apply when multiple voices are required.</t>
  </si>
  <si>
    <r>
      <rPr>
        <b/>
        <sz val="11"/>
        <color rgb="FF000000"/>
        <rFont val="Calibri"/>
        <family val="2"/>
        <scheme val="minor"/>
      </rPr>
      <t>Number of lines</t>
    </r>
    <r>
      <rPr>
        <sz val="11"/>
        <color rgb="FF000000"/>
        <rFont val="Calibri"/>
        <family val="2"/>
        <scheme val="minor"/>
      </rPr>
      <t xml:space="preserve"> (or loops) per min for the content that needs to be localized
</t>
    </r>
    <r>
      <rPr>
        <sz val="10"/>
        <color rgb="FF000000"/>
        <rFont val="Calibri"/>
        <family val="2"/>
        <scheme val="minor"/>
      </rPr>
      <t xml:space="preserve">(Ref Line count Definition Tab) </t>
    </r>
  </si>
  <si>
    <r>
      <rPr>
        <b/>
        <sz val="11"/>
        <color rgb="FF000000"/>
        <rFont val="Calibri"/>
        <family val="2"/>
        <scheme val="minor"/>
      </rPr>
      <t>Opening Song Recording</t>
    </r>
    <r>
      <rPr>
        <sz val="11"/>
        <color rgb="FF000000"/>
        <rFont val="Calibri"/>
        <family val="2"/>
        <scheme val="minor"/>
      </rPr>
      <t xml:space="preserve"> </t>
    </r>
  </si>
  <si>
    <r>
      <rPr>
        <b/>
        <sz val="11"/>
        <color rgb="FF000000"/>
        <rFont val="Calibri"/>
        <family val="2"/>
        <scheme val="minor"/>
      </rPr>
      <t>Songs Recording</t>
    </r>
    <r>
      <rPr>
        <sz val="11"/>
        <color rgb="FF000000"/>
        <rFont val="Calibri"/>
        <family val="2"/>
        <scheme val="minor"/>
      </rPr>
      <t xml:space="preserve"> (within episode)</t>
    </r>
  </si>
  <si>
    <t xml:space="preserve">2.0 &amp; 5.1 </t>
  </si>
  <si>
    <t>2.0</t>
  </si>
  <si>
    <t>Audio File Delivery; i.e. to DETE</t>
  </si>
  <si>
    <t>Script; i.e. to NEST</t>
  </si>
  <si>
    <t>Vendor to provide as recorded AD script</t>
  </si>
  <si>
    <t>Vendor to provide as recorded Audio Description script</t>
  </si>
  <si>
    <r>
      <t xml:space="preserve">Key Names and Phrases
</t>
    </r>
    <r>
      <rPr>
        <sz val="11"/>
        <color rgb="FF000000"/>
        <rFont val="Calibri"/>
        <family val="2"/>
        <scheme val="minor"/>
      </rPr>
      <t>Glossary Terms + Character Names</t>
    </r>
  </si>
  <si>
    <r>
      <rPr>
        <b/>
        <sz val="11"/>
        <color rgb="FF000000"/>
        <rFont val="Calibri"/>
        <family val="2"/>
        <scheme val="minor"/>
      </rPr>
      <t xml:space="preserve">Metadata </t>
    </r>
    <r>
      <rPr>
        <sz val="11"/>
        <color rgb="FF000000"/>
        <rFont val="Calibri"/>
        <family val="2"/>
        <scheme val="minor"/>
      </rPr>
      <t xml:space="preserve">
Episode title, short episode synopsis, season synopsis.  </t>
    </r>
  </si>
  <si>
    <t>Vendor shall gather all signatures on AORs and be able to deliver to WBD as physical or scanned documents at completion of project or upon request.</t>
  </si>
  <si>
    <t>Rights vendor must secured on behalf of WBD</t>
  </si>
  <si>
    <t>NON-THEATRICAL FEATURE LINEAR BROADCAST</t>
  </si>
  <si>
    <t xml:space="preserve">Standard +  </t>
  </si>
  <si>
    <t xml:space="preserve"> &lt; 4weeks</t>
  </si>
  <si>
    <t xml:space="preserve"> &gt; 4 weeks +</t>
  </si>
  <si>
    <t xml:space="preserve">3- 13 calendar days </t>
  </si>
  <si>
    <t xml:space="preserve">Episodic: single episode, accelerated timelines may require non-final materials.
</t>
  </si>
  <si>
    <t xml:space="preserve">Working from final and multiple episodes, concurrently. </t>
  </si>
  <si>
    <t xml:space="preserve">Final AV Materials. </t>
  </si>
  <si>
    <t>Final AV Materials. 
Locked Prelim (where required)</t>
  </si>
  <si>
    <r>
      <rPr>
        <b/>
        <sz val="11"/>
        <color rgb="FF000000"/>
        <rFont val="Calibri"/>
        <family val="2"/>
        <scheme val="minor"/>
      </rPr>
      <t>Audio Files</t>
    </r>
    <r>
      <rPr>
        <sz val="11"/>
        <color rgb="FF000000"/>
        <rFont val="Calibri"/>
        <family val="2"/>
        <scheme val="minor"/>
      </rPr>
      <t xml:space="preserve">: 
Print masters, Stems, and M&amp;Es. </t>
    </r>
    <r>
      <rPr>
        <i/>
        <sz val="11"/>
        <color rgb="FF000000"/>
        <rFont val="Calibri"/>
        <family val="2"/>
        <scheme val="minor"/>
      </rPr>
      <t>Optionals, when</t>
    </r>
    <r>
      <rPr>
        <sz val="11"/>
        <color rgb="FF000000"/>
        <rFont val="Calibri"/>
        <family val="2"/>
        <scheme val="minor"/>
      </rPr>
      <t xml:space="preserve"> </t>
    </r>
    <r>
      <rPr>
        <i/>
        <sz val="11"/>
        <color rgb="FF000000"/>
        <rFont val="Calibri"/>
        <family val="2"/>
        <scheme val="minor"/>
      </rPr>
      <t>available.</t>
    </r>
  </si>
  <si>
    <t xml:space="preserve"> Client to provide Print Master, (other materials listed can be provided if if available but are not required for VO)</t>
  </si>
  <si>
    <r>
      <rPr>
        <b/>
        <sz val="11"/>
        <color rgb="FF000000"/>
        <rFont val="Calibri"/>
        <family val="2"/>
        <scheme val="minor"/>
      </rPr>
      <t xml:space="preserve">Scripts &amp; Creative Documentation:
Original Version  Language
</t>
    </r>
    <r>
      <rPr>
        <sz val="10"/>
        <color rgb="FF000000"/>
        <rFont val="Calibri"/>
        <family val="2"/>
        <scheme val="minor"/>
      </rPr>
      <t>(Ref Source Materials Definition Tab)</t>
    </r>
  </si>
  <si>
    <t xml:space="preserve"> WBD to provide metadata template at the same timeframe as refererence materials</t>
  </si>
  <si>
    <t>If reqiuired, WBD to provide Studio with voice tests kits. 
If not available, vendor can create for an additional charge.</t>
  </si>
  <si>
    <r>
      <rPr>
        <sz val="11"/>
        <rFont val="Calibri"/>
        <family val="2"/>
        <scheme val="minor"/>
      </rPr>
      <t>Local standard assumptions to be applied as to the number of voice actors needed for a project.</t>
    </r>
    <r>
      <rPr>
        <strike/>
        <sz val="11"/>
        <rFont val="Calibri"/>
        <family val="2"/>
        <scheme val="minor"/>
      </rPr>
      <t xml:space="preserve">
</t>
    </r>
  </si>
  <si>
    <t>Local standard assumptions to be applied as to the number of voice actors needed for a project.</t>
  </si>
  <si>
    <t>1x Additional charge</t>
  </si>
  <si>
    <t>n/a</t>
  </si>
  <si>
    <r>
      <rPr>
        <b/>
        <sz val="11"/>
        <rFont val="Calibri"/>
        <family val="2"/>
        <scheme val="minor"/>
      </rPr>
      <t>Songs Recording</t>
    </r>
    <r>
      <rPr>
        <sz val="11"/>
        <rFont val="Calibri"/>
        <family val="2"/>
        <scheme val="minor"/>
      </rPr>
      <t xml:space="preserve"> (within feature)</t>
    </r>
  </si>
  <si>
    <t>Additional charge</t>
  </si>
  <si>
    <t>Script &amp; Insert Report; i.e. to NEST</t>
  </si>
  <si>
    <t>VO Credit list as a text based format or graphic card per territory requirements. Additional charge may be applied for requests made after completion of language.</t>
  </si>
  <si>
    <t>VO Credit list as a text based format or graphic card per territory requirements. Additional charge for Video or requests made after completion of language.</t>
  </si>
  <si>
    <t>Vendor must secure all signatures on AORs and be able to deliver to WBD as physical or scanned documents upon request.</t>
  </si>
  <si>
    <t>WBD GCO Localization RFP - Definitions</t>
  </si>
  <si>
    <t>Below are relevant definitions for localization functions outlined in Column B in the SLAs tab.</t>
  </si>
  <si>
    <t>SOURCE MATERIALS DEFINITION</t>
  </si>
  <si>
    <t xml:space="preserve">Source materials </t>
  </si>
  <si>
    <t xml:space="preserve">Description </t>
  </si>
  <si>
    <t>Video format (digital delivery)</t>
  </si>
  <si>
    <t>ProRes, MP4, MOV, MPEG, MXF</t>
  </si>
  <si>
    <t>Preliminary cut - network cut</t>
  </si>
  <si>
    <r>
      <rPr>
        <b/>
        <sz val="11"/>
        <color rgb="FF000000"/>
        <rFont val="Calibri"/>
        <family val="2"/>
        <scheme val="minor"/>
      </rPr>
      <t>“Network cut”</t>
    </r>
    <r>
      <rPr>
        <sz val="11"/>
        <color rgb="FF000000"/>
        <rFont val="Calibri"/>
        <family val="2"/>
        <scheme val="minor"/>
      </rPr>
      <t xml:space="preserve"> or </t>
    </r>
    <r>
      <rPr>
        <b/>
        <sz val="11"/>
        <color rgb="FF000000"/>
        <rFont val="Calibri"/>
        <family val="2"/>
        <scheme val="minor"/>
      </rPr>
      <t>“Rough cut”</t>
    </r>
    <r>
      <rPr>
        <sz val="11"/>
        <color rgb="FF000000"/>
        <rFont val="Calibri"/>
        <family val="2"/>
        <scheme val="minor"/>
      </rPr>
      <t xml:space="preserve"> - An early assemblage of non-final content. Scenes can be changed (edited out, shortened, removed).
VFX, color, dialogue, sound mix and titles / credits are all “Temp” and subject to change.
This is usually to give the translator a heads-up in time for the translation and a visual reference. They may not use it to start their translation as content can be changed, but it helps them to go faster in the translation.
This version is usually used only for translators and giving the first idea of casting.</t>
    </r>
  </si>
  <si>
    <t>Preliminary cut - locked cut</t>
  </si>
  <si>
    <r>
      <rPr>
        <b/>
        <sz val="11"/>
        <color rgb="FF000000"/>
        <rFont val="Calibri"/>
        <family val="2"/>
        <scheme val="minor"/>
      </rPr>
      <t>"Locked cut"</t>
    </r>
    <r>
      <rPr>
        <sz val="11"/>
        <color rgb="FF000000"/>
        <rFont val="Calibri"/>
        <family val="2"/>
        <scheme val="minor"/>
      </rPr>
      <t xml:space="preserve"> or </t>
    </r>
    <r>
      <rPr>
        <b/>
        <sz val="11"/>
        <color rgb="FF000000"/>
        <rFont val="Calibri"/>
        <family val="2"/>
        <scheme val="minor"/>
      </rPr>
      <t>“Picture lock”</t>
    </r>
    <r>
      <rPr>
        <sz val="11"/>
        <color rgb="FF000000"/>
        <rFont val="Calibri"/>
        <family val="2"/>
        <scheme val="minor"/>
      </rPr>
      <t xml:space="preserve"> -</t>
    </r>
    <r>
      <rPr>
        <i/>
        <sz val="11"/>
        <color rgb="FF000000"/>
        <rFont val="Calibri"/>
        <family val="2"/>
        <scheme val="minor"/>
      </rPr>
      <t xml:space="preserve"> </t>
    </r>
    <r>
      <rPr>
        <sz val="11"/>
        <color theme="1"/>
        <rFont val="Calibri"/>
        <family val="2"/>
        <scheme val="minor"/>
      </rPr>
      <t xml:space="preserve">In general, </t>
    </r>
    <r>
      <rPr>
        <sz val="11"/>
        <color rgb="FF000000"/>
        <rFont val="Calibri"/>
        <family val="2"/>
        <scheme val="minor"/>
      </rPr>
      <t xml:space="preserve">changes to program cut have been done and approved (timeline of the content is set aka Picture timing is locked). Dialogue is locked in, number of actors is set, M&amp;E may not be available at that time. ADR may still happen later on, final music might change, Final visuals may not be available &amp; main graphic text info may or may not be included. </t>
    </r>
  </si>
  <si>
    <t>Final cut</t>
  </si>
  <si>
    <t>Error free final video &amp; audio, balanced M&amp;E, textless at tail (if needed)</t>
  </si>
  <si>
    <t>Audio files</t>
  </si>
  <si>
    <t>Print masters, Stems and M&amp;Es</t>
  </si>
  <si>
    <r>
      <t xml:space="preserve">Non-Production English script format assumptions:
</t>
    </r>
    <r>
      <rPr>
        <b/>
        <i/>
        <sz val="11"/>
        <color rgb="FF000000"/>
        <rFont val="Calibri"/>
        <family val="2"/>
        <scheme val="minor"/>
      </rPr>
      <t>(client will always provide best available)</t>
    </r>
  </si>
  <si>
    <r>
      <t xml:space="preserve">Full transcription, characters speaking &amp; TC (can be annotated or not) </t>
    </r>
    <r>
      <rPr>
        <sz val="11"/>
        <color theme="1"/>
        <rFont val="Calibri"/>
        <family val="2"/>
        <scheme val="minor"/>
      </rPr>
      <t>ideally will</t>
    </r>
    <r>
      <rPr>
        <strike/>
        <sz val="11"/>
        <color theme="1"/>
        <rFont val="Calibri"/>
        <family val="2"/>
        <scheme val="minor"/>
      </rPr>
      <t xml:space="preserve"> </t>
    </r>
    <r>
      <rPr>
        <sz val="11"/>
        <color theme="1"/>
        <rFont val="Calibri"/>
        <family val="2"/>
        <scheme val="minor"/>
      </rPr>
      <t>include:
-Cast List
-Identify Cast played by Children
-Titles List
-Synopsis
-Key Glossary
-Subtitle for foreign dialogue when needed
-All Inserts
-Songs
-Line Count Per Character</t>
    </r>
  </si>
  <si>
    <t>Lyrics and lead sheets</t>
  </si>
  <si>
    <t>Note - these typically are provided by Production</t>
  </si>
  <si>
    <t>Title lists</t>
  </si>
  <si>
    <t>Can be requested as a separate deliverable to the script</t>
  </si>
  <si>
    <t>Character lists</t>
  </si>
  <si>
    <t>Character line counts</t>
  </si>
  <si>
    <t>Run time (minutes)</t>
  </si>
  <si>
    <t>Total billable runtime so align to active program content i.e. should not be inclusive of leaders/tails/textless sections of the source material.  Total Runtime should be measured in minutes and rounded up/down to the closest minute.</t>
  </si>
  <si>
    <t>TURNAROUND DEFINITION</t>
  </si>
  <si>
    <t>Description</t>
  </si>
  <si>
    <t xml:space="preserve">Turnaround </t>
  </si>
  <si>
    <t xml:space="preserve">Turnaround is defined as the time period from receipt of all error-free Source Materials (to delivery of the Final Delivery Materials.  For this purpose a “day” is a calendar day that is not a public holiday or weekend in the territory of the target language. </t>
  </si>
  <si>
    <t>Turnaround shall be counted on the day of receipt of all Source Materials if the Source Material is received by Company before 12:00 PM; if the Source Materials are received after 12:00 PM, the turnaround shall be counted from the following day, and if the day of receipt of Source Materials is the day prior to a vendor  public holiday, turnaround shall be counted from the day of receipt only if the Source Materials are received before 9:00 AM.</t>
  </si>
  <si>
    <t>SECURITY TIERS DEFINITION</t>
  </si>
  <si>
    <t>Tier 3</t>
  </si>
  <si>
    <t>Tier 2</t>
  </si>
  <si>
    <t>Tier 1, 0, MAX</t>
  </si>
  <si>
    <t>High</t>
  </si>
  <si>
    <t>Franchise</t>
  </si>
  <si>
    <t>Type of content</t>
  </si>
  <si>
    <t>Catalogue/Post-air (Broadcast)/
Post-digital Release (Theatrical)</t>
  </si>
  <si>
    <t>Pre-release episodic and Pre-Release Theatrical content</t>
  </si>
  <si>
    <t>Highest Security, i.e. tent pole titles</t>
  </si>
  <si>
    <t>Reference material watermarking 
(proxies and scripts)</t>
  </si>
  <si>
    <t xml:space="preserve">-ID per destination/user
-Visibly watermarked
</t>
  </si>
  <si>
    <t>-ID per destination/user
-Visibly watermarked
-A/V forensically watermarked</t>
  </si>
  <si>
    <t>Security requirements</t>
  </si>
  <si>
    <t>-WBD Vendor Risk Management Assessment
-Compliance with WBD Data &amp; Content Security Addendum</t>
  </si>
  <si>
    <t>-TPN or WBD Content Security remote assessment to ensure compliance with MPA Best Practices
-Translation work must take place via an approved platform (vs. working  locally with materials)
-Compliance with WBD Data &amp; Content Security Addendum</t>
  </si>
  <si>
    <t>-TPN or WBD Content Security on-site assessment to ensure compliance with MPA Best Practices 
-Translation work must take place on-site
-Compliance with WBD Data &amp; Content Security Addendum</t>
  </si>
  <si>
    <t>(Tier 0, Max security level to be discussed with client on each title)</t>
  </si>
  <si>
    <t>SONGS DEFINITION</t>
  </si>
  <si>
    <t>Songs definition</t>
  </si>
  <si>
    <t>Ditty recorded as dialogue (no charge)</t>
  </si>
  <si>
    <r>
      <t xml:space="preserve">It requires little musical ability or direction and can be recorded with the ADR.  It does not require extra time in the recordings, vocal director, and lyricist.  In most cases, we would expect the ditty to be a capella and to last around 2 - 5 seconds. 
Example of standard ditties:  humming, ‘la-la-la’; ‘ta-ta-taaaa’ ; ‘Good Mooorning’ 
</t>
    </r>
    <r>
      <rPr>
        <u/>
        <sz val="11"/>
        <rFont val="Calibri"/>
        <family val="2"/>
        <scheme val="minor"/>
      </rPr>
      <t xml:space="preserve">Exceptions
</t>
    </r>
    <r>
      <rPr>
        <sz val="11"/>
        <rFont val="Calibri"/>
        <family val="2"/>
        <scheme val="minor"/>
      </rPr>
      <t>Exceptions are applied based on local market practice.</t>
    </r>
  </si>
  <si>
    <t>Ditty (charge as extra)</t>
  </si>
  <si>
    <r>
      <t xml:space="preserve">A ditty is easily learned and should not require a lead sheet since ditties are often ad-libbed in character by the voice actor (e.g. a familiar children’s song). 
Ditty with more than one singer - Same as above but is ad-libbed among all performers. 
This type of song is unstructured and free of specific harmonies and does not require great musical sensibilities (e.g. a group of people singing in a pub). 
The key aspect of a ditty is that it is technically and creatively less complex than a vocal; we would generally expect them to be a aapella but on occasion there may also be instrumental accompaniment. 
There is usually not a requirement for a music director or lyricist.
</t>
    </r>
    <r>
      <rPr>
        <u/>
        <sz val="11"/>
        <rFont val="Calibri"/>
        <family val="2"/>
        <scheme val="minor"/>
      </rPr>
      <t xml:space="preserve">Exceptions
</t>
    </r>
    <r>
      <rPr>
        <sz val="11"/>
        <rFont val="Calibri"/>
        <family val="2"/>
        <scheme val="minor"/>
      </rPr>
      <t>Exceptions are applied based on local market practice.</t>
    </r>
  </si>
  <si>
    <t>Vocal - solo</t>
  </si>
  <si>
    <t>A song which has a structured and specific melody with defined lyrics (very often with rhymes) which will normally require lead sheets and has an instrumental accompaniment; the vocal performer should have some talent for singing. 
This vocal can often be sung in-character, or maybe a song that is sung-over the action by a non-character performer. The expectation is that a vocal will be at least 20 seconds or shorter, subject to complexity. This song requires a lyricist and musical director.</t>
  </si>
  <si>
    <t>Vocal - 2 lead singers</t>
  </si>
  <si>
    <t>Vocal with 2 lead performers - description as above.</t>
  </si>
  <si>
    <t>Vocal - with chorus</t>
  </si>
  <si>
    <t>Lead Vocal with Backing Vocals - Same as above but is performed with additional background singers.</t>
  </si>
  <si>
    <t>General Cartoon Network rules</t>
  </si>
  <si>
    <t>Notes</t>
  </si>
  <si>
    <t>Main title / opening song</t>
  </si>
  <si>
    <t>Always dubbed, once then re-use to the other episodes, if the main title song has variations then the dubbing needs to be updated. Opening Songs are on average between 30-60 seconds.</t>
  </si>
  <si>
    <t>Background &amp; commercial songs</t>
  </si>
  <si>
    <t>Never dubbed</t>
  </si>
  <si>
    <t>Songs not important to plot</t>
  </si>
  <si>
    <t>Local client's decision</t>
  </si>
  <si>
    <t>End credit song</t>
  </si>
  <si>
    <t>Talent</t>
  </si>
  <si>
    <t>Wherever possible, studios should use the cheaper option between using singers, voice actor talent</t>
  </si>
  <si>
    <t>BATCH SIZE DEFINITION</t>
  </si>
  <si>
    <t xml:space="preserve">Series </t>
  </si>
  <si>
    <t xml:space="preserve">Batch sizes assumption  </t>
  </si>
  <si>
    <t>Current season</t>
  </si>
  <si>
    <t>Catalogue</t>
  </si>
  <si>
    <t xml:space="preserve">Batch of 110 Animation
Batch of 180 mins Live Action </t>
  </si>
  <si>
    <t>Batch of up to 600 mins</t>
  </si>
  <si>
    <t>SLA comment</t>
  </si>
  <si>
    <t>110 min for Animation
180min for Live action 
Assumes vendor works from final</t>
  </si>
  <si>
    <t>Assumes vendor works from final.
Based on staggered delivery</t>
  </si>
  <si>
    <t>Standard Batch</t>
  </si>
  <si>
    <t>Single/Batch</t>
  </si>
  <si>
    <t>Batch - Full Series</t>
  </si>
  <si>
    <t>Turnaround in calendar days</t>
  </si>
  <si>
    <t>28 - 56 days**</t>
  </si>
  <si>
    <t>84 days**</t>
  </si>
  <si>
    <t>Exceptions</t>
  </si>
  <si>
    <t>Exceptions are applied based on local market practice</t>
  </si>
  <si>
    <t xml:space="preserve">Other </t>
  </si>
  <si>
    <t>if Kids required for a short turnaround, detailed schedule is needed  - Kids following government permission</t>
  </si>
  <si>
    <t>LINE COUNT DEFINITION</t>
  </si>
  <si>
    <t>Line count</t>
  </si>
  <si>
    <t>Lines per minute average</t>
  </si>
  <si>
    <t>Examples</t>
  </si>
  <si>
    <t>19+ lines per minute average</t>
  </si>
  <si>
    <t>Example titles charged with an uplift for HBO:​
The Deuce (60) - 435 takes​
The Plot Against America (60) ~ 436 takes ​
Turner French uplift for series average of over 360 lines per 22 min episode (over 16 per min)​</t>
  </si>
  <si>
    <t>11 - 18 lines per minute average</t>
  </si>
  <si>
    <t>Low</t>
  </si>
  <si>
    <t>Less than 10 lines per minute average</t>
  </si>
  <si>
    <t>Tom &amp; Jerry, Mighty Mike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</si>
</sst>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quot;₹&quot;\ * #,##0.00_ ;_ &quot;₹&quot;\ * \-#,##0.00_ ;_ &quot;₹&quot;\ * &quot;-&quot;??_ ;_ @_ "/>
  </numFmts>
  <fonts count="40" x14ac:knownFonts="1">
    <font>
      <sz val="11"/>
      <color theme="1"/>
      <name val="Calibri"/>
      <family val="2"/>
      <scheme val="minor"/>
    </font>
    <font>
      <sz val="12"/>
      <color theme="1"/>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b/>
      <sz val="11"/>
      <name val="Calibri"/>
      <family val="2"/>
      <scheme val="minor"/>
    </font>
    <font>
      <b/>
      <sz val="11"/>
      <color rgb="FF000000"/>
      <name val="Calibri"/>
      <family val="2"/>
      <scheme val="minor"/>
    </font>
    <font>
      <sz val="11"/>
      <color rgb="FF000000"/>
      <name val="Calibri"/>
      <family val="2"/>
      <scheme val="minor"/>
    </font>
    <font>
      <b/>
      <sz val="11"/>
      <color rgb="FFFF0000"/>
      <name val="Calibri"/>
      <family val="2"/>
      <scheme val="minor"/>
    </font>
    <font>
      <i/>
      <sz val="11"/>
      <name val="Calibri"/>
      <family val="2"/>
      <scheme val="minor"/>
    </font>
    <font>
      <b/>
      <sz val="14"/>
      <color theme="1"/>
      <name val="Calibri"/>
      <family val="2"/>
      <scheme val="minor"/>
    </font>
    <font>
      <b/>
      <sz val="18"/>
      <color rgb="FF000000"/>
      <name val="Calibri"/>
      <family val="2"/>
      <scheme val="minor"/>
    </font>
    <font>
      <sz val="10"/>
      <color rgb="FF000000"/>
      <name val="Calibri"/>
      <family val="2"/>
      <scheme val="minor"/>
    </font>
    <font>
      <sz val="11"/>
      <color rgb="FFFF0000"/>
      <name val="Calibri"/>
      <family val="2"/>
      <scheme val="minor"/>
    </font>
    <font>
      <sz val="10"/>
      <name val="Calibri"/>
      <family val="2"/>
      <scheme val="minor"/>
    </font>
    <font>
      <u/>
      <sz val="11"/>
      <name val="Calibri"/>
      <family val="2"/>
      <scheme val="minor"/>
    </font>
    <font>
      <b/>
      <i/>
      <sz val="11"/>
      <color rgb="FFFF0000"/>
      <name val="Calibri"/>
      <family val="2"/>
      <scheme val="minor"/>
    </font>
    <font>
      <i/>
      <sz val="11"/>
      <color rgb="FF000000"/>
      <name val="Calibri"/>
      <family val="2"/>
      <scheme val="minor"/>
    </font>
    <font>
      <sz val="11"/>
      <color theme="1"/>
      <name val="Calibri"/>
      <family val="2"/>
      <scheme val="minor"/>
    </font>
    <font>
      <b/>
      <sz val="11"/>
      <color theme="1"/>
      <name val="Arial"/>
      <family val="2"/>
    </font>
    <font>
      <i/>
      <sz val="11"/>
      <color theme="1"/>
      <name val="Calibri"/>
      <family val="2"/>
      <scheme val="minor"/>
    </font>
    <font>
      <b/>
      <sz val="12"/>
      <color theme="1"/>
      <name val="Calibri"/>
      <family val="2"/>
      <scheme val="minor"/>
    </font>
    <font>
      <b/>
      <sz val="14"/>
      <color theme="0"/>
      <name val="Calibri"/>
      <family val="2"/>
      <scheme val="minor"/>
    </font>
    <font>
      <b/>
      <i/>
      <sz val="11"/>
      <color theme="1"/>
      <name val="Calibri"/>
      <family val="2"/>
      <scheme val="minor"/>
    </font>
    <font>
      <b/>
      <sz val="11"/>
      <color rgb="FF000000"/>
      <name val="Calibri"/>
      <family val="2"/>
    </font>
    <font>
      <sz val="11"/>
      <color rgb="FF000000"/>
      <name val="Calibri"/>
      <family val="2"/>
    </font>
    <font>
      <strike/>
      <sz val="11"/>
      <name val="Calibri"/>
      <family val="2"/>
      <scheme val="minor"/>
    </font>
    <font>
      <b/>
      <sz val="16"/>
      <color theme="0"/>
      <name val="Calibri"/>
      <family val="2"/>
      <scheme val="minor"/>
    </font>
    <font>
      <b/>
      <sz val="18"/>
      <color theme="1"/>
      <name val="Calibri"/>
      <family val="2"/>
      <scheme val="minor"/>
    </font>
    <font>
      <sz val="12"/>
      <color rgb="FF000000"/>
      <name val="Calibri"/>
      <family val="2"/>
      <scheme val="minor"/>
    </font>
    <font>
      <i/>
      <sz val="12"/>
      <color theme="1"/>
      <name val="Calibri"/>
      <family val="2"/>
      <scheme val="minor"/>
    </font>
    <font>
      <b/>
      <sz val="18"/>
      <name val="Calibri"/>
      <family val="2"/>
      <scheme val="minor"/>
    </font>
    <font>
      <b/>
      <i/>
      <sz val="11"/>
      <color rgb="FF000000"/>
      <name val="Calibri"/>
      <family val="2"/>
      <scheme val="minor"/>
    </font>
    <font>
      <b/>
      <sz val="16"/>
      <name val="Calibri"/>
      <family val="2"/>
      <scheme val="minor"/>
    </font>
    <font>
      <sz val="8"/>
      <name val="Calibri"/>
      <family val="2"/>
      <scheme val="minor"/>
    </font>
    <font>
      <b/>
      <i/>
      <sz val="11"/>
      <name val="Calibri"/>
      <family val="2"/>
      <scheme val="minor"/>
    </font>
    <font>
      <sz val="10"/>
      <color rgb="FFFF0000"/>
      <name val="Calibri"/>
      <family val="2"/>
      <scheme val="minor"/>
    </font>
    <font>
      <strike/>
      <sz val="11"/>
      <color theme="1"/>
      <name val="Calibri"/>
      <family val="2"/>
      <scheme val="minor"/>
    </font>
  </fonts>
  <fills count="23">
    <fill>
      <patternFill patternType="none"/>
    </fill>
    <fill>
      <patternFill patternType="gray125"/>
    </fill>
    <fill>
      <patternFill patternType="solid">
        <fgColor theme="7" tint="0.79998168889431442"/>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theme="5"/>
        <bgColor indexed="64"/>
      </patternFill>
    </fill>
    <fill>
      <patternFill patternType="solid">
        <fgColor theme="7"/>
        <bgColor indexed="64"/>
      </patternFill>
    </fill>
    <fill>
      <patternFill patternType="solid">
        <fgColor theme="0"/>
        <bgColor indexed="64"/>
      </patternFill>
    </fill>
    <fill>
      <patternFill patternType="solid">
        <fgColor theme="8" tint="0.79998168889431442"/>
        <bgColor indexed="64"/>
      </patternFill>
    </fill>
    <fill>
      <patternFill patternType="solid">
        <fgColor theme="2"/>
        <bgColor indexed="64"/>
      </patternFill>
    </fill>
    <fill>
      <patternFill patternType="solid">
        <fgColor theme="1"/>
        <bgColor indexed="64"/>
      </patternFill>
    </fill>
    <fill>
      <patternFill patternType="solid">
        <fgColor rgb="FF00B0F0"/>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70C0"/>
        <bgColor indexed="64"/>
      </patternFill>
    </fill>
    <fill>
      <patternFill patternType="solid">
        <fgColor indexed="65"/>
        <bgColor indexed="64"/>
      </patternFill>
    </fill>
    <fill>
      <patternFill patternType="solid">
        <fgColor theme="0" tint="-0.499984740745262"/>
        <bgColor indexed="64"/>
      </patternFill>
    </fill>
    <fill>
      <patternFill patternType="solid">
        <fgColor rgb="FFFFFFC1"/>
        <bgColor indexed="64"/>
      </patternFill>
    </fill>
    <fill>
      <patternFill patternType="solid">
        <fgColor rgb="FF00206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FFFF00"/>
        <bgColor indexed="64"/>
      </patternFill>
    </fill>
  </fills>
  <borders count="10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medium">
        <color indexed="64"/>
      </top>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medium">
        <color indexed="64"/>
      </left>
      <right/>
      <top style="medium">
        <color rgb="FF000000"/>
      </top>
      <bottom style="medium">
        <color rgb="FF000000"/>
      </bottom>
      <diagonal/>
    </border>
    <border>
      <left style="medium">
        <color indexed="64"/>
      </left>
      <right/>
      <top style="medium">
        <color rgb="FF000000"/>
      </top>
      <bottom/>
      <diagonal/>
    </border>
    <border>
      <left/>
      <right style="medium">
        <color indexed="64"/>
      </right>
      <top style="medium">
        <color rgb="FF000000"/>
      </top>
      <bottom style="medium">
        <color rgb="FF000000"/>
      </bottom>
      <diagonal/>
    </border>
    <border>
      <left style="thin">
        <color indexed="64"/>
      </left>
      <right style="medium">
        <color indexed="64"/>
      </right>
      <top style="medium">
        <color rgb="FF000000"/>
      </top>
      <bottom/>
      <diagonal/>
    </border>
    <border>
      <left style="thin">
        <color indexed="64"/>
      </left>
      <right style="medium">
        <color indexed="64"/>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top style="thin">
        <color indexed="64"/>
      </top>
      <bottom style="thin">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style="medium">
        <color indexed="64"/>
      </bottom>
      <diagonal/>
    </border>
    <border>
      <left/>
      <right style="medium">
        <color indexed="64"/>
      </right>
      <top style="medium">
        <color rgb="FF000000"/>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medium">
        <color rgb="FF000000"/>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rgb="FF000000"/>
      </bottom>
      <diagonal/>
    </border>
    <border>
      <left style="medium">
        <color rgb="FF000000"/>
      </left>
      <right style="medium">
        <color rgb="FF000000"/>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style="medium">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rgb="FF000000"/>
      </left>
      <right style="medium">
        <color rgb="FF000000"/>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medium">
        <color indexed="64"/>
      </right>
      <top style="medium">
        <color rgb="FF000000"/>
      </top>
      <bottom style="medium">
        <color indexed="64"/>
      </bottom>
      <diagonal/>
    </border>
    <border>
      <left style="thin">
        <color indexed="64"/>
      </left>
      <right style="medium">
        <color indexed="64"/>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right/>
      <top/>
      <bottom style="thin">
        <color indexed="64"/>
      </bottom>
      <diagonal/>
    </border>
    <border>
      <left style="medium">
        <color indexed="64"/>
      </left>
      <right/>
      <top/>
      <bottom style="medium">
        <color rgb="FF000000"/>
      </bottom>
      <diagonal/>
    </border>
    <border>
      <left/>
      <right style="medium">
        <color indexed="64"/>
      </right>
      <top/>
      <bottom style="medium">
        <color rgb="FF000000"/>
      </bottom>
      <diagonal/>
    </border>
    <border>
      <left/>
      <right style="thin">
        <color indexed="64"/>
      </right>
      <top style="thin">
        <color indexed="64"/>
      </top>
      <bottom style="thin">
        <color indexed="64"/>
      </bottom>
      <diagonal/>
    </border>
    <border>
      <left style="thin">
        <color indexed="64"/>
      </left>
      <right/>
      <top/>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7">
    <xf numFmtId="0" fontId="0" fillId="0" borderId="0"/>
    <xf numFmtId="0" fontId="20" fillId="0" borderId="0"/>
    <xf numFmtId="44" fontId="20" fillId="0" borderId="0" applyFont="0" applyFill="0" applyBorder="0" applyAlignment="0" applyProtection="0"/>
    <xf numFmtId="0" fontId="2" fillId="0" borderId="0"/>
    <xf numFmtId="9" fontId="20" fillId="0" borderId="0" applyFont="0" applyFill="0" applyBorder="0" applyAlignment="0" applyProtection="0"/>
    <xf numFmtId="164" fontId="20" fillId="0" borderId="0" applyFont="0" applyFill="0" applyBorder="0" applyAlignment="0" applyProtection="0"/>
    <xf numFmtId="0" fontId="1" fillId="0" borderId="0"/>
  </cellStyleXfs>
  <cellXfs count="539">
    <xf numFmtId="0" fontId="0" fillId="0" borderId="0" xfId="0"/>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2" fillId="0" borderId="0" xfId="0" applyFont="1"/>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2" xfId="0" applyFont="1" applyFill="1" applyBorder="1" applyAlignment="1">
      <alignment horizontal="center" vertical="center"/>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5" fillId="0" borderId="10"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9"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2" xfId="0" applyFont="1" applyBorder="1" applyAlignment="1">
      <alignment horizontal="center" vertical="center" wrapText="1"/>
    </xf>
    <xf numFmtId="0" fontId="4" fillId="0" borderId="21" xfId="0" applyFont="1" applyBorder="1" applyAlignment="1">
      <alignment horizontal="left" vertical="center"/>
    </xf>
    <xf numFmtId="0" fontId="8" fillId="0" borderId="4" xfId="0" applyFont="1" applyBorder="1" applyAlignment="1">
      <alignment horizontal="left" vertical="center" wrapText="1"/>
    </xf>
    <xf numFmtId="0" fontId="7"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5"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8" xfId="0" applyFont="1" applyBorder="1" applyAlignment="1">
      <alignment horizontal="center" vertical="center" wrapText="1"/>
    </xf>
    <xf numFmtId="0" fontId="9" fillId="0" borderId="30" xfId="0" applyFont="1" applyBorder="1" applyAlignment="1">
      <alignment horizontal="center" vertical="center" wrapText="1"/>
    </xf>
    <xf numFmtId="0" fontId="4" fillId="0" borderId="16" xfId="0" applyFont="1" applyBorder="1" applyAlignment="1">
      <alignment horizontal="center" vertical="center" wrapText="1"/>
    </xf>
    <xf numFmtId="0" fontId="7" fillId="6" borderId="2" xfId="0" applyFont="1" applyFill="1" applyBorder="1" applyAlignment="1">
      <alignment horizontal="center" vertical="center" wrapText="1"/>
    </xf>
    <xf numFmtId="0" fontId="15" fillId="0" borderId="0" xfId="0" applyFont="1"/>
    <xf numFmtId="0" fontId="8" fillId="0" borderId="15" xfId="0" applyFont="1" applyBorder="1" applyAlignment="1">
      <alignment horizontal="center" vertical="center" wrapText="1"/>
    </xf>
    <xf numFmtId="0" fontId="3" fillId="3" borderId="4" xfId="0" applyFont="1" applyFill="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xf>
    <xf numFmtId="0" fontId="18" fillId="0" borderId="0" xfId="0" applyFont="1"/>
    <xf numFmtId="0" fontId="18" fillId="0" borderId="0" xfId="0" applyFont="1" applyAlignment="1">
      <alignment horizontal="center"/>
    </xf>
    <xf numFmtId="0" fontId="5" fillId="0" borderId="20" xfId="0" applyFont="1" applyBorder="1" applyAlignment="1">
      <alignment horizontal="center" vertical="center" wrapText="1"/>
    </xf>
    <xf numFmtId="0" fontId="4" fillId="0" borderId="0" xfId="0" applyFont="1" applyAlignment="1">
      <alignment horizontal="center" vertical="center"/>
    </xf>
    <xf numFmtId="0" fontId="4" fillId="0" borderId="0" xfId="0" applyFont="1"/>
    <xf numFmtId="0" fontId="23" fillId="0" borderId="0" xfId="0" applyFont="1"/>
    <xf numFmtId="0" fontId="9" fillId="0" borderId="5" xfId="0" applyFont="1" applyBorder="1" applyAlignment="1">
      <alignment horizontal="center" vertical="center" wrapText="1"/>
    </xf>
    <xf numFmtId="0" fontId="9" fillId="0" borderId="45" xfId="0" applyFont="1" applyBorder="1" applyAlignment="1">
      <alignment horizontal="center" vertical="center" wrapText="1"/>
    </xf>
    <xf numFmtId="0" fontId="5" fillId="0" borderId="45" xfId="0" applyFont="1" applyBorder="1" applyAlignment="1">
      <alignment horizontal="center" vertical="center" wrapText="1"/>
    </xf>
    <xf numFmtId="0" fontId="9" fillId="0" borderId="46"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8"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6" xfId="0" applyFont="1" applyBorder="1" applyAlignment="1">
      <alignment horizontal="center" vertical="center" wrapText="1"/>
    </xf>
    <xf numFmtId="0" fontId="8" fillId="0" borderId="4" xfId="0" applyFont="1" applyBorder="1" applyAlignment="1">
      <alignment horizontal="center" vertical="center" wrapText="1"/>
    </xf>
    <xf numFmtId="0" fontId="9" fillId="0" borderId="3" xfId="0" applyFont="1" applyBorder="1" applyAlignment="1">
      <alignment horizontal="center" vertical="center" wrapText="1"/>
    </xf>
    <xf numFmtId="0" fontId="9" fillId="0" borderId="8" xfId="0" applyFont="1" applyBorder="1" applyAlignment="1">
      <alignment horizontal="center" vertical="center" wrapText="1"/>
    </xf>
    <xf numFmtId="0" fontId="7" fillId="0" borderId="4"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54" xfId="0" applyFont="1" applyBorder="1" applyAlignment="1">
      <alignment horizontal="center" vertical="center" wrapText="1"/>
    </xf>
    <xf numFmtId="0" fontId="3" fillId="5" borderId="24" xfId="0" applyFont="1" applyFill="1" applyBorder="1" applyAlignment="1">
      <alignment horizontal="center" vertical="center"/>
    </xf>
    <xf numFmtId="0" fontId="0" fillId="0" borderId="16" xfId="0" applyBorder="1" applyAlignment="1">
      <alignment horizontal="left" vertical="center" wrapText="1"/>
    </xf>
    <xf numFmtId="0" fontId="0" fillId="0" borderId="16" xfId="0" applyBorder="1" applyAlignment="1">
      <alignment horizontal="left" vertical="center"/>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29" xfId="0" applyBorder="1" applyAlignment="1">
      <alignment horizontal="center" vertical="center" wrapText="1"/>
    </xf>
    <xf numFmtId="0" fontId="0" fillId="0" borderId="55" xfId="0" quotePrefix="1" applyBorder="1" applyAlignment="1">
      <alignment horizontal="center" vertical="center" wrapText="1"/>
    </xf>
    <xf numFmtId="0" fontId="3" fillId="10" borderId="8" xfId="3" applyFont="1" applyFill="1" applyBorder="1" applyAlignment="1">
      <alignment horizontal="left" vertical="center" wrapText="1"/>
    </xf>
    <xf numFmtId="0" fontId="4" fillId="9" borderId="3" xfId="3" applyFont="1" applyFill="1" applyBorder="1" applyAlignment="1">
      <alignment horizontal="center" vertical="center" wrapText="1"/>
    </xf>
    <xf numFmtId="0" fontId="4" fillId="9" borderId="8" xfId="3" applyFont="1" applyFill="1" applyBorder="1" applyAlignment="1">
      <alignment horizontal="center" vertical="center" wrapText="1"/>
    </xf>
    <xf numFmtId="0" fontId="4" fillId="7" borderId="0" xfId="3" applyFont="1" applyFill="1" applyAlignment="1">
      <alignment horizontal="center" vertical="center" wrapText="1"/>
    </xf>
    <xf numFmtId="0" fontId="4" fillId="0" borderId="0" xfId="3" applyFont="1" applyAlignment="1">
      <alignment horizontal="center" vertical="center" wrapText="1"/>
    </xf>
    <xf numFmtId="0" fontId="20" fillId="7" borderId="0" xfId="3" applyFont="1" applyFill="1" applyAlignment="1">
      <alignment vertical="center" wrapText="1"/>
    </xf>
    <xf numFmtId="0" fontId="3" fillId="10" borderId="24" xfId="3" applyFont="1" applyFill="1" applyBorder="1" applyAlignment="1">
      <alignment horizontal="center" vertical="center" wrapText="1"/>
    </xf>
    <xf numFmtId="0" fontId="20" fillId="7" borderId="0" xfId="3" applyFont="1" applyFill="1" applyAlignment="1">
      <alignment horizontal="center" vertical="center" wrapText="1"/>
    </xf>
    <xf numFmtId="0" fontId="20" fillId="7" borderId="0" xfId="3" applyFont="1" applyFill="1" applyAlignment="1">
      <alignment vertical="center"/>
    </xf>
    <xf numFmtId="0" fontId="4" fillId="7" borderId="25" xfId="3" applyFont="1" applyFill="1" applyBorder="1" applyAlignment="1">
      <alignment horizontal="center" vertical="center"/>
    </xf>
    <xf numFmtId="0" fontId="4" fillId="7" borderId="34" xfId="3" applyFont="1" applyFill="1" applyBorder="1" applyAlignment="1">
      <alignment horizontal="center" vertical="center"/>
    </xf>
    <xf numFmtId="0" fontId="4" fillId="7" borderId="26" xfId="3" applyFont="1" applyFill="1" applyBorder="1" applyAlignment="1">
      <alignment horizontal="center" vertical="center"/>
    </xf>
    <xf numFmtId="0" fontId="22" fillId="7" borderId="0" xfId="3" applyFont="1" applyFill="1" applyAlignment="1">
      <alignment horizontal="left" vertical="center"/>
    </xf>
    <xf numFmtId="0" fontId="4" fillId="7" borderId="0" xfId="3" applyFont="1" applyFill="1" applyAlignment="1">
      <alignment horizontal="center" vertical="center"/>
    </xf>
    <xf numFmtId="0" fontId="20" fillId="0" borderId="0" xfId="3" applyFont="1" applyAlignment="1">
      <alignment vertical="center"/>
    </xf>
    <xf numFmtId="44" fontId="20" fillId="7" borderId="0" xfId="2" applyFont="1" applyFill="1" applyBorder="1" applyAlignment="1">
      <alignment vertical="center"/>
    </xf>
    <xf numFmtId="0" fontId="20" fillId="7" borderId="12" xfId="3" applyFont="1" applyFill="1" applyBorder="1" applyAlignment="1">
      <alignment vertical="center"/>
    </xf>
    <xf numFmtId="0" fontId="4" fillId="7" borderId="5" xfId="3" applyFont="1" applyFill="1" applyBorder="1" applyAlignment="1">
      <alignment horizontal="center" vertical="center" wrapText="1"/>
    </xf>
    <xf numFmtId="0" fontId="4" fillId="7" borderId="0" xfId="3" applyFont="1" applyFill="1" applyAlignment="1">
      <alignment vertical="center" wrapText="1"/>
    </xf>
    <xf numFmtId="0" fontId="21" fillId="0" borderId="0" xfId="3" applyFont="1" applyAlignment="1">
      <alignment vertical="center"/>
    </xf>
    <xf numFmtId="0" fontId="21" fillId="0" borderId="26" xfId="3" applyFont="1" applyBorder="1" applyAlignment="1">
      <alignment vertical="center"/>
    </xf>
    <xf numFmtId="0" fontId="4" fillId="9" borderId="24" xfId="3" applyFont="1" applyFill="1" applyBorder="1" applyAlignment="1">
      <alignment horizontal="center" vertical="center" wrapText="1"/>
    </xf>
    <xf numFmtId="9" fontId="20" fillId="7" borderId="46" xfId="4" applyFont="1" applyFill="1" applyBorder="1" applyAlignment="1">
      <alignment vertical="center"/>
    </xf>
    <xf numFmtId="0" fontId="0" fillId="0" borderId="0" xfId="0" applyAlignment="1">
      <alignment wrapText="1"/>
    </xf>
    <xf numFmtId="0" fontId="7" fillId="6" borderId="4"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4" xfId="0" applyFont="1" applyBorder="1" applyAlignment="1">
      <alignment horizontal="center" vertical="center" wrapText="1"/>
    </xf>
    <xf numFmtId="0" fontId="9" fillId="0" borderId="0" xfId="0" applyFont="1" applyAlignment="1">
      <alignment wrapText="1"/>
    </xf>
    <xf numFmtId="0" fontId="0" fillId="0" borderId="0" xfId="0" applyAlignment="1">
      <alignment vertical="center" wrapText="1"/>
    </xf>
    <xf numFmtId="0" fontId="9" fillId="0" borderId="0" xfId="0" applyFont="1"/>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4" xfId="0" applyFont="1" applyBorder="1" applyAlignment="1">
      <alignment horizontal="center" vertical="center" wrapText="1"/>
    </xf>
    <xf numFmtId="0" fontId="4" fillId="0" borderId="20" xfId="0" applyFont="1" applyBorder="1" applyAlignment="1">
      <alignment horizontal="center" vertical="center" wrapText="1"/>
    </xf>
    <xf numFmtId="0" fontId="5" fillId="0" borderId="19" xfId="0" applyFont="1" applyBorder="1" applyAlignment="1">
      <alignment horizontal="center" vertical="center" wrapText="1"/>
    </xf>
    <xf numFmtId="0" fontId="7" fillId="0" borderId="24" xfId="0" applyFont="1" applyBorder="1" applyAlignment="1">
      <alignment horizontal="center" vertical="center" wrapText="1"/>
    </xf>
    <xf numFmtId="0" fontId="0" fillId="0" borderId="20" xfId="0" applyBorder="1" applyAlignment="1">
      <alignment horizontal="center" vertical="center" wrapText="1"/>
    </xf>
    <xf numFmtId="0" fontId="5" fillId="0" borderId="41" xfId="0" applyFont="1" applyBorder="1" applyAlignment="1">
      <alignment horizontal="center" vertical="center" wrapText="1"/>
    </xf>
    <xf numFmtId="0" fontId="9" fillId="0" borderId="9" xfId="0" applyFont="1" applyBorder="1" applyAlignment="1">
      <alignment horizontal="center" vertical="center" wrapText="1"/>
    </xf>
    <xf numFmtId="0" fontId="9" fillId="0" borderId="29" xfId="0" applyFont="1" applyBorder="1" applyAlignment="1">
      <alignment horizontal="center" vertical="center" wrapText="1"/>
    </xf>
    <xf numFmtId="0" fontId="0" fillId="0" borderId="24"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3" fillId="10" borderId="25"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10" borderId="4" xfId="0" applyFont="1" applyFill="1" applyBorder="1" applyAlignment="1">
      <alignment horizontal="center" vertical="center"/>
    </xf>
    <xf numFmtId="0" fontId="7" fillId="2" borderId="30" xfId="0" applyFont="1" applyFill="1" applyBorder="1" applyAlignment="1">
      <alignment horizontal="center" vertical="center" wrapText="1"/>
    </xf>
    <xf numFmtId="0" fontId="7" fillId="0" borderId="25" xfId="0" applyFont="1" applyBorder="1" applyAlignment="1">
      <alignment horizontal="center" vertical="center" wrapText="1"/>
    </xf>
    <xf numFmtId="0" fontId="4" fillId="9" borderId="32" xfId="3" applyFont="1" applyFill="1" applyBorder="1" applyAlignment="1">
      <alignment horizontal="center" vertical="center" wrapText="1"/>
    </xf>
    <xf numFmtId="0" fontId="9" fillId="0" borderId="24" xfId="0" applyFont="1" applyBorder="1" applyAlignment="1">
      <alignment horizontal="center" vertical="center" wrapText="1"/>
    </xf>
    <xf numFmtId="0" fontId="7" fillId="0" borderId="8" xfId="0" applyFont="1" applyBorder="1" applyAlignment="1">
      <alignment horizontal="center" vertical="center" wrapText="1"/>
    </xf>
    <xf numFmtId="0" fontId="9" fillId="0" borderId="11" xfId="0" applyFont="1" applyBorder="1" applyAlignment="1">
      <alignment horizontal="center" vertical="center" wrapText="1"/>
    </xf>
    <xf numFmtId="0" fontId="0" fillId="0" borderId="46" xfId="0" applyBorder="1" applyAlignment="1">
      <alignment horizontal="center" vertical="center" wrapText="1"/>
    </xf>
    <xf numFmtId="0" fontId="9" fillId="0" borderId="47" xfId="0" applyFont="1" applyBorder="1" applyAlignment="1">
      <alignment horizontal="center" vertical="center" wrapText="1"/>
    </xf>
    <xf numFmtId="0" fontId="0" fillId="0" borderId="11" xfId="0" applyBorder="1" applyAlignment="1">
      <alignment horizontal="center" vertical="center" wrapText="1"/>
    </xf>
    <xf numFmtId="0" fontId="0" fillId="0" borderId="47" xfId="0" applyBorder="1" applyAlignment="1">
      <alignment horizontal="center" vertical="center" wrapText="1"/>
    </xf>
    <xf numFmtId="0" fontId="9" fillId="0" borderId="48" xfId="0" applyFont="1" applyBorder="1" applyAlignment="1">
      <alignment horizontal="center" vertical="center" wrapText="1"/>
    </xf>
    <xf numFmtId="0" fontId="0" fillId="0" borderId="41" xfId="0" applyBorder="1" applyAlignment="1">
      <alignment horizontal="center" vertical="center" wrapText="1"/>
    </xf>
    <xf numFmtId="0" fontId="0" fillId="0" borderId="48" xfId="0" applyBorder="1" applyAlignment="1">
      <alignment horizontal="center" vertical="center" wrapText="1"/>
    </xf>
    <xf numFmtId="0" fontId="0" fillId="0" borderId="5" xfId="0" applyBorder="1" applyAlignment="1">
      <alignment horizontal="center" vertical="center" wrapText="1"/>
    </xf>
    <xf numFmtId="0" fontId="8" fillId="14" borderId="24" xfId="0" applyFont="1" applyFill="1" applyBorder="1" applyAlignment="1">
      <alignment horizontal="center" vertical="center" wrapText="1"/>
    </xf>
    <xf numFmtId="0" fontId="4" fillId="14" borderId="24" xfId="0" applyFont="1" applyFill="1" applyBorder="1" applyAlignment="1">
      <alignment horizontal="center" vertical="center" wrapText="1"/>
    </xf>
    <xf numFmtId="0" fontId="0" fillId="0" borderId="50" xfId="0" applyBorder="1" applyAlignment="1">
      <alignment horizontal="center" vertical="center" wrapText="1"/>
    </xf>
    <xf numFmtId="0" fontId="0" fillId="0" borderId="55" xfId="0" applyBorder="1" applyAlignment="1">
      <alignment horizontal="center" vertical="center" wrapText="1"/>
    </xf>
    <xf numFmtId="0" fontId="0" fillId="0" borderId="45" xfId="0" applyBorder="1" applyAlignment="1">
      <alignment horizontal="center" vertical="center" wrapText="1"/>
    </xf>
    <xf numFmtId="0" fontId="7" fillId="0" borderId="49" xfId="0" applyFont="1" applyBorder="1" applyAlignment="1">
      <alignment horizontal="center" vertical="center" wrapText="1"/>
    </xf>
    <xf numFmtId="0" fontId="3" fillId="10" borderId="24" xfId="0" applyFont="1" applyFill="1" applyBorder="1" applyAlignment="1">
      <alignment horizontal="center" vertical="center" wrapText="1"/>
    </xf>
    <xf numFmtId="0" fontId="5" fillId="0" borderId="55"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35" xfId="0" applyFont="1" applyBorder="1" applyAlignment="1">
      <alignment horizontal="center" vertical="center" wrapText="1"/>
    </xf>
    <xf numFmtId="0" fontId="9" fillId="0" borderId="55" xfId="0" applyFont="1" applyBorder="1" applyAlignment="1">
      <alignment horizontal="center" vertical="center" wrapText="1"/>
    </xf>
    <xf numFmtId="0" fontId="8" fillId="14" borderId="4" xfId="0" applyFont="1" applyFill="1" applyBorder="1" applyAlignment="1">
      <alignment horizontal="center" vertical="center" wrapText="1"/>
    </xf>
    <xf numFmtId="0" fontId="4" fillId="0" borderId="21" xfId="0" applyFont="1" applyBorder="1" applyAlignment="1">
      <alignment horizontal="center" vertical="center"/>
    </xf>
    <xf numFmtId="0" fontId="9" fillId="0" borderId="10"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54"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7" xfId="0" applyFont="1" applyBorder="1" applyAlignment="1">
      <alignment horizontal="center" vertical="center" wrapText="1"/>
    </xf>
    <xf numFmtId="0" fontId="27" fillId="0" borderId="16" xfId="0" applyFont="1" applyBorder="1" applyAlignment="1">
      <alignment horizontal="center" vertical="center" wrapText="1"/>
    </xf>
    <xf numFmtId="0" fontId="8"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4" xfId="0" applyFont="1" applyBorder="1" applyAlignment="1">
      <alignment horizontal="center" vertical="center" wrapText="1"/>
    </xf>
    <xf numFmtId="0" fontId="8" fillId="0" borderId="17" xfId="0" applyFont="1" applyBorder="1" applyAlignment="1">
      <alignment horizontal="center" vertical="center" wrapText="1"/>
    </xf>
    <xf numFmtId="0" fontId="9" fillId="0" borderId="39" xfId="0" applyFont="1" applyBorder="1" applyAlignment="1">
      <alignment horizontal="center" vertical="center" wrapText="1"/>
    </xf>
    <xf numFmtId="0" fontId="9" fillId="0" borderId="50" xfId="0" applyFont="1" applyBorder="1" applyAlignment="1">
      <alignment horizontal="center" vertical="center" wrapText="1"/>
    </xf>
    <xf numFmtId="0" fontId="21" fillId="0" borderId="0" xfId="3" applyFont="1" applyAlignment="1">
      <alignment horizontal="right" vertical="center" wrapText="1"/>
    </xf>
    <xf numFmtId="0" fontId="20" fillId="7" borderId="12" xfId="3" applyFont="1" applyFill="1" applyBorder="1" applyAlignment="1">
      <alignment horizontal="right"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7" xfId="0" applyBorder="1" applyAlignment="1">
      <alignment horizontal="center" vertical="center" wrapText="1"/>
    </xf>
    <xf numFmtId="0" fontId="0" fillId="0" borderId="9" xfId="0" applyBorder="1" applyAlignment="1">
      <alignment horizontal="center" vertical="center" wrapText="1"/>
    </xf>
    <xf numFmtId="0" fontId="5" fillId="0" borderId="0" xfId="0" applyFont="1" applyAlignment="1">
      <alignment horizontal="center" vertical="center" wrapText="1"/>
    </xf>
    <xf numFmtId="0" fontId="4" fillId="0" borderId="25" xfId="0" applyFont="1" applyBorder="1" applyAlignment="1">
      <alignment horizontal="center" vertical="center" wrapText="1"/>
    </xf>
    <xf numFmtId="0" fontId="4" fillId="0" borderId="49" xfId="0" applyFont="1" applyBorder="1" applyAlignment="1">
      <alignment horizontal="center" vertical="center" wrapText="1"/>
    </xf>
    <xf numFmtId="0" fontId="3" fillId="15" borderId="4" xfId="0" applyFont="1" applyFill="1" applyBorder="1" applyAlignment="1">
      <alignment horizontal="center" vertical="center"/>
    </xf>
    <xf numFmtId="0" fontId="7" fillId="11" borderId="2" xfId="0" applyFont="1" applyFill="1" applyBorder="1" applyAlignment="1">
      <alignment horizontal="center" vertical="center"/>
    </xf>
    <xf numFmtId="49" fontId="0" fillId="0" borderId="0" xfId="0" applyNumberFormat="1" applyAlignment="1">
      <alignment horizontal="center" vertical="center" wrapText="1"/>
    </xf>
    <xf numFmtId="0" fontId="3" fillId="15" borderId="3" xfId="0" applyFont="1" applyFill="1" applyBorder="1" applyAlignment="1">
      <alignment horizontal="center" vertical="center"/>
    </xf>
    <xf numFmtId="0" fontId="4" fillId="0" borderId="8" xfId="0" applyFont="1" applyBorder="1" applyAlignment="1">
      <alignment horizontal="center" vertical="center" wrapText="1"/>
    </xf>
    <xf numFmtId="0" fontId="9" fillId="0" borderId="21" xfId="0" applyFont="1" applyBorder="1" applyAlignment="1">
      <alignment horizontal="center" vertical="center" wrapText="1"/>
    </xf>
    <xf numFmtId="0" fontId="0" fillId="0" borderId="26" xfId="0" applyBorder="1" applyAlignment="1">
      <alignment horizontal="center" vertical="center"/>
    </xf>
    <xf numFmtId="49" fontId="9" fillId="0" borderId="30" xfId="0" applyNumberFormat="1" applyFont="1" applyBorder="1" applyAlignment="1">
      <alignment horizontal="center" vertical="center" wrapText="1"/>
    </xf>
    <xf numFmtId="0" fontId="3" fillId="10" borderId="64" xfId="0" applyFont="1" applyFill="1" applyBorder="1" applyAlignment="1">
      <alignment horizontal="center" vertical="center"/>
    </xf>
    <xf numFmtId="0" fontId="7" fillId="6" borderId="64" xfId="0" applyFont="1" applyFill="1" applyBorder="1" applyAlignment="1">
      <alignment horizontal="center" vertical="center" wrapText="1"/>
    </xf>
    <xf numFmtId="0" fontId="3" fillId="10" borderId="65" xfId="0" applyFont="1" applyFill="1" applyBorder="1" applyAlignment="1">
      <alignment horizontal="center" vertical="center" wrapText="1"/>
    </xf>
    <xf numFmtId="0" fontId="7" fillId="2" borderId="68" xfId="0" applyFont="1" applyFill="1" applyBorder="1" applyAlignment="1">
      <alignment horizontal="center" vertical="center" wrapText="1"/>
    </xf>
    <xf numFmtId="0" fontId="24" fillId="0" borderId="0" xfId="3" applyFont="1" applyAlignment="1">
      <alignment horizontal="center" vertical="center"/>
    </xf>
    <xf numFmtId="44" fontId="20" fillId="18" borderId="12" xfId="2" applyFont="1" applyFill="1" applyBorder="1" applyAlignment="1">
      <alignment vertical="center"/>
    </xf>
    <xf numFmtId="44" fontId="20" fillId="18" borderId="46" xfId="2" applyFont="1" applyFill="1" applyBorder="1" applyAlignment="1">
      <alignment vertical="center"/>
    </xf>
    <xf numFmtId="0" fontId="4" fillId="14" borderId="8" xfId="3" applyFont="1" applyFill="1" applyBorder="1" applyAlignment="1">
      <alignment horizontal="center" vertical="center" wrapText="1"/>
    </xf>
    <xf numFmtId="0" fontId="20" fillId="7" borderId="34" xfId="3" applyFont="1" applyFill="1" applyBorder="1" applyAlignment="1">
      <alignment vertical="center"/>
    </xf>
    <xf numFmtId="0" fontId="20" fillId="7" borderId="40" xfId="3" applyFont="1" applyFill="1" applyBorder="1" applyAlignment="1">
      <alignment vertical="center"/>
    </xf>
    <xf numFmtId="0" fontId="20" fillId="7" borderId="43" xfId="3" applyFont="1" applyFill="1" applyBorder="1" applyAlignment="1">
      <alignment vertical="center"/>
    </xf>
    <xf numFmtId="44" fontId="20" fillId="18" borderId="1" xfId="2" applyFont="1" applyFill="1" applyBorder="1" applyAlignment="1">
      <alignment vertical="center"/>
    </xf>
    <xf numFmtId="0" fontId="8" fillId="14" borderId="25" xfId="0" applyFont="1" applyFill="1" applyBorder="1" applyAlignment="1">
      <alignment horizontal="center" vertical="center" wrapText="1"/>
    </xf>
    <xf numFmtId="0" fontId="4" fillId="9" borderId="7" xfId="3" applyFont="1" applyFill="1" applyBorder="1" applyAlignment="1">
      <alignment horizontal="center" vertical="center" wrapText="1"/>
    </xf>
    <xf numFmtId="0" fontId="0" fillId="0" borderId="33" xfId="0" applyBorder="1" applyAlignment="1">
      <alignment horizontal="center" vertical="center" wrapText="1"/>
    </xf>
    <xf numFmtId="0" fontId="7" fillId="0" borderId="65" xfId="0" applyFont="1" applyBorder="1" applyAlignment="1">
      <alignment horizontal="center" vertical="center" wrapText="1"/>
    </xf>
    <xf numFmtId="0" fontId="5" fillId="0" borderId="86" xfId="0" applyFont="1" applyBorder="1" applyAlignment="1">
      <alignment horizontal="center" vertical="center" wrapText="1"/>
    </xf>
    <xf numFmtId="0" fontId="5" fillId="0" borderId="87" xfId="0" applyFont="1" applyBorder="1" applyAlignment="1">
      <alignment horizontal="center" vertical="center" wrapText="1"/>
    </xf>
    <xf numFmtId="0" fontId="5" fillId="0" borderId="88" xfId="0" applyFont="1" applyBorder="1" applyAlignment="1">
      <alignment horizontal="center" vertical="center" wrapText="1"/>
    </xf>
    <xf numFmtId="0" fontId="5" fillId="0" borderId="89" xfId="0" applyFont="1" applyBorder="1" applyAlignment="1">
      <alignment horizontal="center" vertical="center" wrapText="1"/>
    </xf>
    <xf numFmtId="0" fontId="7" fillId="0" borderId="86" xfId="0" applyFont="1" applyBorder="1" applyAlignment="1">
      <alignment horizontal="center" vertical="center" wrapText="1"/>
    </xf>
    <xf numFmtId="0" fontId="5" fillId="0" borderId="80" xfId="0" applyFont="1" applyBorder="1" applyAlignment="1">
      <alignment horizontal="center" vertical="center" wrapText="1"/>
    </xf>
    <xf numFmtId="0" fontId="7" fillId="0" borderId="80" xfId="0" applyFont="1" applyBorder="1" applyAlignment="1">
      <alignment horizontal="center" vertical="center" wrapText="1"/>
    </xf>
    <xf numFmtId="0" fontId="7" fillId="0" borderId="92" xfId="0" applyFont="1" applyBorder="1" applyAlignment="1">
      <alignment horizontal="center" vertical="center" wrapText="1"/>
    </xf>
    <xf numFmtId="0" fontId="0" fillId="0" borderId="0" xfId="0" applyAlignment="1">
      <alignment horizontal="center" vertical="center" wrapText="1"/>
    </xf>
    <xf numFmtId="0" fontId="8" fillId="0" borderId="0" xfId="0" applyFont="1" applyAlignment="1">
      <alignment horizontal="center" vertical="center" wrapText="1"/>
    </xf>
    <xf numFmtId="0" fontId="9" fillId="0" borderId="23" xfId="0" applyFont="1" applyBorder="1" applyAlignment="1">
      <alignment horizontal="center" vertical="center" wrapText="1"/>
    </xf>
    <xf numFmtId="0" fontId="7" fillId="9" borderId="93" xfId="0" applyFont="1" applyFill="1" applyBorder="1" applyAlignment="1">
      <alignment horizontal="center" vertical="center" wrapText="1"/>
    </xf>
    <xf numFmtId="0" fontId="7" fillId="9" borderId="25" xfId="0" applyFont="1" applyFill="1" applyBorder="1" applyAlignment="1">
      <alignment horizontal="center" vertical="center" wrapText="1"/>
    </xf>
    <xf numFmtId="0" fontId="7" fillId="9" borderId="49" xfId="0" applyFont="1" applyFill="1" applyBorder="1" applyAlignment="1">
      <alignment horizontal="center" vertical="center" wrapText="1"/>
    </xf>
    <xf numFmtId="0" fontId="7" fillId="9" borderId="25" xfId="0" applyFont="1" applyFill="1" applyBorder="1" applyAlignment="1">
      <alignment horizontal="center" vertical="center"/>
    </xf>
    <xf numFmtId="0" fontId="7" fillId="9" borderId="49" xfId="0" applyFont="1" applyFill="1" applyBorder="1" applyAlignment="1">
      <alignment horizontal="center" vertical="center"/>
    </xf>
    <xf numFmtId="0" fontId="7" fillId="9" borderId="58" xfId="0" applyFont="1" applyFill="1" applyBorder="1" applyAlignment="1">
      <alignment horizontal="center" vertical="center"/>
    </xf>
    <xf numFmtId="0" fontId="7" fillId="9" borderId="60" xfId="0" applyFont="1" applyFill="1" applyBorder="1" applyAlignment="1">
      <alignment horizontal="center" vertical="center"/>
    </xf>
    <xf numFmtId="0" fontId="0" fillId="0" borderId="33" xfId="0" applyBorder="1" applyAlignment="1">
      <alignment vertical="center" wrapText="1"/>
    </xf>
    <xf numFmtId="0" fontId="0" fillId="0" borderId="33" xfId="0" applyBorder="1" applyAlignment="1">
      <alignment wrapText="1"/>
    </xf>
    <xf numFmtId="0" fontId="0" fillId="0" borderId="33" xfId="0" applyBorder="1"/>
    <xf numFmtId="0" fontId="5" fillId="0" borderId="25" xfId="0" applyFont="1" applyBorder="1" applyAlignment="1">
      <alignment horizontal="center" vertical="center" wrapText="1"/>
    </xf>
    <xf numFmtId="0" fontId="5" fillId="0" borderId="97"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5" xfId="0" applyFont="1" applyBorder="1" applyAlignment="1">
      <alignment horizontal="center" vertical="center" wrapText="1"/>
    </xf>
    <xf numFmtId="0" fontId="0" fillId="0" borderId="99" xfId="0" applyBorder="1" applyAlignment="1">
      <alignment horizontal="center" vertical="center" wrapText="1"/>
    </xf>
    <xf numFmtId="0" fontId="0" fillId="0" borderId="101" xfId="0" applyBorder="1"/>
    <xf numFmtId="0" fontId="4" fillId="0" borderId="33" xfId="0" applyFont="1" applyBorder="1" applyAlignment="1">
      <alignment vertical="center"/>
    </xf>
    <xf numFmtId="0" fontId="18" fillId="0" borderId="33" xfId="0" applyFont="1" applyBorder="1" applyAlignment="1">
      <alignment horizontal="center" vertical="center"/>
    </xf>
    <xf numFmtId="0" fontId="30" fillId="0" borderId="33" xfId="0" applyFont="1" applyBorder="1" applyAlignment="1">
      <alignment vertical="center"/>
    </xf>
    <xf numFmtId="0" fontId="13" fillId="0" borderId="33" xfId="0" applyFont="1" applyBorder="1"/>
    <xf numFmtId="0" fontId="31" fillId="0" borderId="0" xfId="0" applyFont="1"/>
    <xf numFmtId="0" fontId="1" fillId="0" borderId="0" xfId="0" applyFont="1" applyAlignment="1">
      <alignment horizontal="left"/>
    </xf>
    <xf numFmtId="0" fontId="0" fillId="0" borderId="8" xfId="0" applyBorder="1" applyAlignment="1">
      <alignment wrapText="1"/>
    </xf>
    <xf numFmtId="0" fontId="0" fillId="0" borderId="24" xfId="0" applyBorder="1" applyAlignment="1">
      <alignment wrapText="1"/>
    </xf>
    <xf numFmtId="0" fontId="0" fillId="0" borderId="3" xfId="0" applyBorder="1" applyAlignment="1">
      <alignment wrapText="1"/>
    </xf>
    <xf numFmtId="0" fontId="5" fillId="0" borderId="26" xfId="0" applyFont="1" applyBorder="1" applyAlignment="1">
      <alignment horizontal="center" vertical="center" wrapText="1"/>
    </xf>
    <xf numFmtId="0" fontId="7" fillId="9" borderId="34" xfId="0" applyFont="1" applyFill="1" applyBorder="1" applyAlignment="1">
      <alignment horizontal="center" vertical="center" wrapText="1"/>
    </xf>
    <xf numFmtId="0" fontId="4" fillId="16" borderId="24" xfId="0" applyFont="1" applyFill="1" applyBorder="1" applyAlignment="1">
      <alignment horizontal="center" vertical="center" wrapText="1"/>
    </xf>
    <xf numFmtId="0" fontId="0" fillId="0" borderId="32" xfId="0" applyBorder="1" applyAlignment="1">
      <alignment horizontal="center" vertical="center" wrapText="1"/>
    </xf>
    <xf numFmtId="0" fontId="7" fillId="9" borderId="8" xfId="0" applyFont="1" applyFill="1" applyBorder="1" applyAlignment="1">
      <alignment horizontal="center" vertical="center"/>
    </xf>
    <xf numFmtId="0" fontId="7" fillId="9" borderId="2" xfId="0" applyFont="1" applyFill="1" applyBorder="1" applyAlignment="1">
      <alignment horizontal="center" vertical="center" wrapText="1"/>
    </xf>
    <xf numFmtId="0" fontId="7" fillId="9" borderId="56"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25" xfId="0" applyFont="1" applyBorder="1" applyAlignment="1">
      <alignment horizontal="center" vertical="center"/>
    </xf>
    <xf numFmtId="0" fontId="7" fillId="0" borderId="49" xfId="0" applyFont="1" applyBorder="1" applyAlignment="1">
      <alignment horizontal="center" vertical="center"/>
    </xf>
    <xf numFmtId="0" fontId="7" fillId="0" borderId="6" xfId="0" applyFont="1" applyBorder="1" applyAlignment="1">
      <alignment horizontal="center" vertical="center"/>
    </xf>
    <xf numFmtId="0" fontId="4" fillId="0" borderId="6" xfId="0" applyFont="1" applyBorder="1" applyAlignment="1">
      <alignment horizontal="center" vertical="center"/>
    </xf>
    <xf numFmtId="0" fontId="4" fillId="0" borderId="49" xfId="0" applyFont="1" applyBorder="1" applyAlignment="1">
      <alignment horizontal="center" vertical="center"/>
    </xf>
    <xf numFmtId="0" fontId="7" fillId="0" borderId="100" xfId="0" applyFont="1" applyBorder="1" applyAlignment="1">
      <alignment horizontal="center" vertical="center"/>
    </xf>
    <xf numFmtId="0" fontId="3" fillId="10" borderId="2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0" borderId="8" xfId="0" applyFont="1" applyBorder="1" applyAlignment="1">
      <alignment horizontal="center" vertical="center"/>
    </xf>
    <xf numFmtId="0" fontId="7"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xf>
    <xf numFmtId="0" fontId="4" fillId="0" borderId="3" xfId="0" applyFont="1" applyBorder="1" applyAlignment="1">
      <alignment horizontal="center" vertical="center"/>
    </xf>
    <xf numFmtId="0" fontId="4" fillId="0" borderId="7" xfId="0" applyFont="1" applyBorder="1" applyAlignment="1">
      <alignment horizontal="center" vertical="center"/>
    </xf>
    <xf numFmtId="0" fontId="7" fillId="9" borderId="8" xfId="0" applyFont="1" applyFill="1" applyBorder="1" applyAlignment="1">
      <alignment horizontal="center" vertical="center" wrapText="1"/>
    </xf>
    <xf numFmtId="0" fontId="7" fillId="9" borderId="32" xfId="0" applyFont="1" applyFill="1" applyBorder="1" applyAlignment="1">
      <alignment horizontal="center" vertical="center" wrapText="1"/>
    </xf>
    <xf numFmtId="0" fontId="5" fillId="0" borderId="36" xfId="0" applyFont="1" applyBorder="1" applyAlignment="1">
      <alignment horizontal="center" vertical="center" wrapText="1"/>
    </xf>
    <xf numFmtId="0" fontId="5" fillId="0" borderId="48" xfId="0" applyFont="1" applyBorder="1" applyAlignment="1">
      <alignment horizontal="center" vertical="center" wrapText="1"/>
    </xf>
    <xf numFmtId="0" fontId="5" fillId="0" borderId="69" xfId="0" applyFont="1" applyBorder="1" applyAlignment="1">
      <alignment horizontal="center" vertical="center" wrapText="1"/>
    </xf>
    <xf numFmtId="0" fontId="5" fillId="0" borderId="7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78" xfId="0" applyFont="1" applyBorder="1" applyAlignment="1">
      <alignment horizontal="center" vertical="center" wrapText="1"/>
    </xf>
    <xf numFmtId="49" fontId="5" fillId="0" borderId="19"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0" fontId="5" fillId="0" borderId="42"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33" xfId="0" applyFont="1" applyBorder="1" applyAlignment="1">
      <alignment horizontal="center" vertical="center" wrapText="1"/>
    </xf>
    <xf numFmtId="0" fontId="7" fillId="13" borderId="4" xfId="0" applyFont="1" applyFill="1" applyBorder="1" applyAlignment="1">
      <alignment horizontal="center" vertical="center"/>
    </xf>
    <xf numFmtId="0" fontId="7" fillId="9" borderId="2" xfId="0" applyFont="1" applyFill="1" applyBorder="1" applyAlignment="1">
      <alignment horizontal="center" vertical="center"/>
    </xf>
    <xf numFmtId="0" fontId="8" fillId="0" borderId="5" xfId="0" applyFont="1" applyBorder="1" applyAlignment="1">
      <alignment horizontal="center" vertical="center" wrapText="1"/>
    </xf>
    <xf numFmtId="0" fontId="8" fillId="0" borderId="55" xfId="0" applyFont="1" applyBorder="1" applyAlignment="1">
      <alignment horizontal="center" vertical="center"/>
    </xf>
    <xf numFmtId="0" fontId="8" fillId="0" borderId="29" xfId="0" applyFont="1" applyBorder="1" applyAlignment="1">
      <alignment horizontal="center" vertical="center" wrapText="1"/>
    </xf>
    <xf numFmtId="0" fontId="8" fillId="0" borderId="29" xfId="0" applyFont="1" applyBorder="1" applyAlignment="1">
      <alignment horizontal="center" vertical="center"/>
    </xf>
    <xf numFmtId="0" fontId="8" fillId="0" borderId="35" xfId="0" applyFont="1" applyBorder="1" applyAlignment="1">
      <alignment horizontal="center" vertical="center"/>
    </xf>
    <xf numFmtId="0" fontId="8" fillId="0" borderId="55" xfId="0" applyFont="1" applyBorder="1" applyAlignment="1">
      <alignment horizontal="center" vertical="center" wrapText="1"/>
    </xf>
    <xf numFmtId="0" fontId="7" fillId="0" borderId="55" xfId="0" applyFont="1" applyBorder="1" applyAlignment="1">
      <alignment horizontal="center" vertical="center" wrapText="1"/>
    </xf>
    <xf numFmtId="0" fontId="8" fillId="0" borderId="24" xfId="0" applyFont="1" applyBorder="1" applyAlignment="1">
      <alignment horizontal="center"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7" fillId="9" borderId="4" xfId="0" applyFont="1" applyFill="1" applyBorder="1" applyAlignment="1">
      <alignment horizontal="center" vertical="center" wrapText="1"/>
    </xf>
    <xf numFmtId="0" fontId="8" fillId="0" borderId="7" xfId="0" applyFont="1" applyBorder="1" applyAlignment="1">
      <alignment horizontal="center" vertical="center"/>
    </xf>
    <xf numFmtId="0" fontId="8" fillId="2" borderId="2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9" fillId="0" borderId="36" xfId="0" applyFont="1" applyBorder="1" applyAlignment="1">
      <alignment horizontal="center" vertical="center" wrapText="1"/>
    </xf>
    <xf numFmtId="0" fontId="9" fillId="0" borderId="41" xfId="0" applyFont="1" applyBorder="1" applyAlignment="1">
      <alignment horizontal="center" vertical="center" wrapText="1"/>
    </xf>
    <xf numFmtId="0" fontId="9" fillId="0" borderId="78"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38"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99" xfId="0" applyFont="1" applyBorder="1" applyAlignment="1">
      <alignment horizontal="center" vertical="center" wrapText="1"/>
    </xf>
    <xf numFmtId="0" fontId="9" fillId="0" borderId="42" xfId="0" applyFont="1" applyBorder="1" applyAlignment="1">
      <alignment horizontal="center" vertical="center" wrapText="1"/>
    </xf>
    <xf numFmtId="0" fontId="0" fillId="0" borderId="7" xfId="0" applyBorder="1" applyAlignment="1">
      <alignment horizontal="center" vertical="center" wrapText="1"/>
    </xf>
    <xf numFmtId="0" fontId="0" fillId="0" borderId="105" xfId="0" applyBorder="1" applyAlignment="1">
      <alignment horizontal="center" vertical="center"/>
    </xf>
    <xf numFmtId="0" fontId="0" fillId="0" borderId="61" xfId="0" applyBorder="1" applyAlignment="1">
      <alignment horizontal="center" vertical="center"/>
    </xf>
    <xf numFmtId="0" fontId="7" fillId="0" borderId="26"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24" xfId="0" applyFont="1" applyBorder="1" applyAlignment="1">
      <alignment horizontal="center" vertical="center"/>
    </xf>
    <xf numFmtId="0" fontId="5" fillId="0" borderId="38" xfId="0" applyFont="1" applyBorder="1" applyAlignment="1">
      <alignment horizontal="center" vertical="center" wrapText="1"/>
    </xf>
    <xf numFmtId="0" fontId="28" fillId="0" borderId="24" xfId="0" applyFont="1" applyBorder="1" applyAlignment="1">
      <alignment horizontal="center" vertical="center" wrapText="1"/>
    </xf>
    <xf numFmtId="0" fontId="7" fillId="0" borderId="32" xfId="0" applyFont="1" applyBorder="1" applyAlignment="1">
      <alignment horizontal="center" vertical="center"/>
    </xf>
    <xf numFmtId="0" fontId="5" fillId="0" borderId="105" xfId="0" applyFont="1" applyBorder="1" applyAlignment="1">
      <alignment horizontal="center" vertical="center" wrapText="1"/>
    </xf>
    <xf numFmtId="0" fontId="28" fillId="0" borderId="32" xfId="0" applyFont="1" applyBorder="1" applyAlignment="1">
      <alignment horizontal="center" vertical="center" wrapText="1"/>
    </xf>
    <xf numFmtId="0" fontId="5" fillId="0" borderId="56" xfId="0" applyFont="1" applyBorder="1" applyAlignment="1">
      <alignment horizontal="center" vertical="center" wrapText="1"/>
    </xf>
    <xf numFmtId="0" fontId="28" fillId="0" borderId="8" xfId="0" applyFont="1" applyBorder="1" applyAlignment="1">
      <alignment horizontal="center" vertical="center" wrapText="1"/>
    </xf>
    <xf numFmtId="0" fontId="30" fillId="0" borderId="101" xfId="0" applyFont="1" applyBorder="1"/>
    <xf numFmtId="0" fontId="32" fillId="0" borderId="0" xfId="0" applyFont="1" applyAlignment="1">
      <alignment horizontal="left"/>
    </xf>
    <xf numFmtId="0" fontId="32" fillId="0" borderId="0" xfId="0" applyFont="1"/>
    <xf numFmtId="0" fontId="8" fillId="0" borderId="0" xfId="0" applyFont="1"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horizontal="center" vertical="center" wrapText="1"/>
    </xf>
    <xf numFmtId="0" fontId="7" fillId="4" borderId="55" xfId="0" applyFont="1" applyFill="1" applyBorder="1" applyAlignment="1">
      <alignment horizontal="center" vertical="center"/>
    </xf>
    <xf numFmtId="0" fontId="7" fillId="4" borderId="29" xfId="0" applyFont="1" applyFill="1" applyBorder="1" applyAlignment="1">
      <alignment horizontal="center" vertical="center" wrapText="1"/>
    </xf>
    <xf numFmtId="0" fontId="3" fillId="5" borderId="8" xfId="0" applyFont="1" applyFill="1" applyBorder="1" applyAlignment="1">
      <alignment horizontal="center" vertical="center"/>
    </xf>
    <xf numFmtId="0" fontId="3" fillId="15" borderId="24" xfId="0" applyFont="1" applyFill="1" applyBorder="1" applyAlignment="1">
      <alignment horizontal="center" vertical="center"/>
    </xf>
    <xf numFmtId="0" fontId="4" fillId="0" borderId="20" xfId="0" applyFont="1" applyBorder="1" applyAlignment="1">
      <alignment horizontal="left" vertical="center" wrapText="1"/>
    </xf>
    <xf numFmtId="49" fontId="0" fillId="0" borderId="17" xfId="0" applyNumberFormat="1" applyBorder="1" applyAlignment="1">
      <alignment horizontal="center" vertical="center" wrapText="1"/>
    </xf>
    <xf numFmtId="0" fontId="3" fillId="15" borderId="18" xfId="0" applyFont="1" applyFill="1" applyBorder="1" applyAlignment="1">
      <alignment horizontal="center" vertical="center"/>
    </xf>
    <xf numFmtId="0" fontId="7" fillId="11" borderId="40" xfId="0" applyFont="1" applyFill="1" applyBorder="1" applyAlignment="1">
      <alignment horizontal="center" vertical="center"/>
    </xf>
    <xf numFmtId="49" fontId="0" fillId="0" borderId="52" xfId="0" applyNumberFormat="1" applyBorder="1" applyAlignment="1">
      <alignment horizontal="center" vertical="center" wrapText="1"/>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30" xfId="0" applyFont="1" applyBorder="1" applyAlignment="1">
      <alignment vertical="center" wrapText="1"/>
    </xf>
    <xf numFmtId="0" fontId="5" fillId="0" borderId="17" xfId="0" applyFont="1" applyBorder="1" applyAlignment="1">
      <alignment vertical="center" wrapText="1"/>
    </xf>
    <xf numFmtId="0" fontId="4" fillId="14" borderId="24" xfId="3" applyFont="1" applyFill="1" applyBorder="1" applyAlignment="1">
      <alignment horizontal="center" vertical="center" wrapText="1"/>
    </xf>
    <xf numFmtId="0" fontId="4" fillId="21" borderId="24" xfId="3" applyFont="1" applyFill="1" applyBorder="1" applyAlignment="1">
      <alignment horizontal="center" vertical="center" wrapText="1"/>
    </xf>
    <xf numFmtId="0" fontId="4" fillId="21" borderId="8" xfId="3" applyFont="1" applyFill="1" applyBorder="1" applyAlignment="1">
      <alignment horizontal="center" vertical="center" wrapText="1"/>
    </xf>
    <xf numFmtId="0" fontId="9" fillId="0" borderId="4" xfId="0" applyFont="1" applyBorder="1" applyAlignment="1">
      <alignment horizontal="left" vertical="center" wrapText="1"/>
    </xf>
    <xf numFmtId="0" fontId="0" fillId="0" borderId="4" xfId="0" applyBorder="1" applyAlignment="1">
      <alignment horizontal="left" vertical="center" wrapText="1"/>
    </xf>
    <xf numFmtId="0" fontId="0" fillId="0" borderId="17" xfId="0" applyBorder="1" applyAlignment="1">
      <alignment vertical="center" wrapText="1"/>
    </xf>
    <xf numFmtId="0" fontId="33" fillId="7" borderId="75" xfId="3" applyFont="1" applyFill="1" applyBorder="1" applyAlignment="1">
      <alignment horizontal="left" vertical="center"/>
    </xf>
    <xf numFmtId="0" fontId="5" fillId="0" borderId="0" xfId="3" applyFont="1" applyAlignment="1">
      <alignment vertical="center"/>
    </xf>
    <xf numFmtId="0" fontId="4" fillId="9" borderId="25" xfId="3" applyFont="1" applyFill="1" applyBorder="1" applyAlignment="1">
      <alignment horizontal="center" vertical="center" wrapText="1"/>
    </xf>
    <xf numFmtId="0" fontId="4" fillId="9" borderId="100" xfId="3" applyFont="1" applyFill="1" applyBorder="1" applyAlignment="1">
      <alignment horizontal="center" vertical="center" wrapText="1"/>
    </xf>
    <xf numFmtId="0" fontId="4" fillId="9" borderId="56" xfId="3" applyFont="1" applyFill="1" applyBorder="1" applyAlignment="1">
      <alignment horizontal="center" vertical="center" wrapText="1"/>
    </xf>
    <xf numFmtId="0" fontId="4" fillId="9" borderId="49" xfId="3" applyFont="1" applyFill="1" applyBorder="1" applyAlignment="1">
      <alignment horizontal="center" vertical="center" wrapText="1"/>
    </xf>
    <xf numFmtId="0" fontId="4" fillId="9" borderId="6" xfId="3" applyFont="1" applyFill="1" applyBorder="1" applyAlignment="1">
      <alignment horizontal="center" vertical="center" wrapText="1"/>
    </xf>
    <xf numFmtId="0" fontId="5" fillId="0" borderId="37" xfId="3" applyFont="1" applyBorder="1" applyAlignment="1">
      <alignment vertical="center"/>
    </xf>
    <xf numFmtId="0" fontId="20" fillId="7" borderId="0" xfId="6" applyFont="1" applyFill="1" applyAlignment="1">
      <alignment vertical="center"/>
    </xf>
    <xf numFmtId="0" fontId="4" fillId="7" borderId="34" xfId="6" applyFont="1" applyFill="1" applyBorder="1" applyAlignment="1">
      <alignment horizontal="center" vertical="center"/>
    </xf>
    <xf numFmtId="0" fontId="4" fillId="7" borderId="0" xfId="6" applyFont="1" applyFill="1" applyAlignment="1">
      <alignment horizontal="center" vertical="center"/>
    </xf>
    <xf numFmtId="0" fontId="24" fillId="0" borderId="0" xfId="6" applyFont="1" applyAlignment="1">
      <alignment horizontal="center" vertical="center"/>
    </xf>
    <xf numFmtId="0" fontId="4" fillId="0" borderId="0" xfId="6" applyFont="1" applyAlignment="1">
      <alignment horizontal="center" vertical="center" wrapText="1"/>
    </xf>
    <xf numFmtId="44" fontId="20" fillId="7" borderId="0" xfId="2" applyFont="1" applyFill="1" applyBorder="1" applyAlignment="1">
      <alignment vertical="top" wrapText="1"/>
    </xf>
    <xf numFmtId="0" fontId="0" fillId="7" borderId="0" xfId="3" applyFont="1" applyFill="1" applyAlignment="1">
      <alignment horizontal="left" vertical="center"/>
    </xf>
    <xf numFmtId="0" fontId="4" fillId="7" borderId="0" xfId="3" applyFont="1" applyFill="1" applyAlignment="1">
      <alignment horizontal="left" vertical="center"/>
    </xf>
    <xf numFmtId="0" fontId="0" fillId="7" borderId="0" xfId="3" applyFont="1" applyFill="1" applyAlignment="1">
      <alignment vertical="center"/>
    </xf>
    <xf numFmtId="0" fontId="0" fillId="0" borderId="0" xfId="3" applyFont="1" applyAlignment="1">
      <alignment vertical="center"/>
    </xf>
    <xf numFmtId="0" fontId="0" fillId="7" borderId="0" xfId="3" applyFont="1" applyFill="1" applyAlignment="1">
      <alignment vertical="center" wrapText="1"/>
    </xf>
    <xf numFmtId="0" fontId="4" fillId="7" borderId="26" xfId="3" applyFont="1" applyFill="1" applyBorder="1" applyAlignment="1">
      <alignment horizontal="center" vertical="center" wrapText="1"/>
    </xf>
    <xf numFmtId="0" fontId="23" fillId="0" borderId="26" xfId="3" applyFont="1" applyBorder="1" applyAlignment="1">
      <alignment vertical="center"/>
    </xf>
    <xf numFmtId="0" fontId="32" fillId="7" borderId="26" xfId="3" applyFont="1" applyFill="1" applyBorder="1" applyAlignment="1">
      <alignment horizontal="left" vertical="center"/>
    </xf>
    <xf numFmtId="0" fontId="23" fillId="7" borderId="26" xfId="3" applyFont="1" applyFill="1" applyBorder="1" applyAlignment="1">
      <alignment horizontal="left" vertical="center"/>
    </xf>
    <xf numFmtId="0" fontId="1" fillId="0" borderId="0" xfId="0" applyFont="1"/>
    <xf numFmtId="0" fontId="23" fillId="7" borderId="34" xfId="6" applyFont="1" applyFill="1" applyBorder="1" applyAlignment="1">
      <alignment horizontal="center" vertical="center"/>
    </xf>
    <xf numFmtId="0" fontId="1" fillId="7" borderId="34" xfId="3" applyFont="1" applyFill="1" applyBorder="1" applyAlignment="1">
      <alignment vertical="center"/>
    </xf>
    <xf numFmtId="0" fontId="1" fillId="0" borderId="34" xfId="0" applyFont="1" applyBorder="1"/>
    <xf numFmtId="0" fontId="1" fillId="0" borderId="40" xfId="0" applyFont="1" applyBorder="1"/>
    <xf numFmtId="0" fontId="23" fillId="7" borderId="0" xfId="6" applyFont="1" applyFill="1" applyAlignment="1">
      <alignment horizontal="center" vertical="center"/>
    </xf>
    <xf numFmtId="0" fontId="1" fillId="7" borderId="0" xfId="3" applyFont="1" applyFill="1" applyAlignment="1">
      <alignment vertical="center"/>
    </xf>
    <xf numFmtId="0" fontId="1" fillId="0" borderId="43" xfId="0" applyFont="1" applyBorder="1"/>
    <xf numFmtId="0" fontId="23" fillId="0" borderId="26" xfId="0" applyFont="1" applyBorder="1"/>
    <xf numFmtId="0" fontId="1" fillId="0" borderId="26" xfId="0" applyFont="1" applyBorder="1"/>
    <xf numFmtId="0" fontId="1" fillId="0" borderId="5" xfId="0" applyFont="1" applyBorder="1"/>
    <xf numFmtId="0" fontId="1" fillId="0" borderId="33" xfId="0" applyFont="1" applyBorder="1"/>
    <xf numFmtId="0" fontId="1" fillId="0" borderId="44" xfId="0" applyFont="1" applyBorder="1"/>
    <xf numFmtId="0" fontId="35" fillId="7" borderId="19" xfId="3" applyFont="1" applyFill="1" applyBorder="1" applyAlignment="1">
      <alignment horizontal="left" vertical="center"/>
    </xf>
    <xf numFmtId="0" fontId="0" fillId="7" borderId="0" xfId="0" applyFill="1" applyAlignment="1">
      <alignment vertical="center"/>
    </xf>
    <xf numFmtId="0" fontId="0" fillId="0" borderId="0" xfId="0" applyAlignment="1">
      <alignment vertical="center"/>
    </xf>
    <xf numFmtId="0" fontId="0" fillId="7" borderId="108" xfId="0" applyFill="1" applyBorder="1"/>
    <xf numFmtId="0" fontId="0" fillId="7" borderId="0" xfId="0" applyFill="1"/>
    <xf numFmtId="0" fontId="0" fillId="7" borderId="105" xfId="0" applyFill="1" applyBorder="1"/>
    <xf numFmtId="0" fontId="0" fillId="7" borderId="36" xfId="0" applyFill="1" applyBorder="1"/>
    <xf numFmtId="0" fontId="0" fillId="7" borderId="101" xfId="0" applyFill="1" applyBorder="1"/>
    <xf numFmtId="0" fontId="0" fillId="7" borderId="38" xfId="0" applyFill="1" applyBorder="1"/>
    <xf numFmtId="0" fontId="0" fillId="14" borderId="38" xfId="0" applyFill="1" applyBorder="1"/>
    <xf numFmtId="0" fontId="0" fillId="14" borderId="108" xfId="0" applyFill="1" applyBorder="1"/>
    <xf numFmtId="0" fontId="0" fillId="14" borderId="105" xfId="0" applyFill="1" applyBorder="1"/>
    <xf numFmtId="0" fontId="0" fillId="14" borderId="0" xfId="0" applyFill="1"/>
    <xf numFmtId="0" fontId="0" fillId="14" borderId="36" xfId="0" applyFill="1" applyBorder="1"/>
    <xf numFmtId="0" fontId="0" fillId="14" borderId="101" xfId="0" applyFill="1" applyBorder="1"/>
    <xf numFmtId="0" fontId="1" fillId="18" borderId="26" xfId="3" applyFont="1" applyFill="1" applyBorder="1" applyAlignment="1">
      <alignment horizontal="center" vertical="center" wrapText="1"/>
    </xf>
    <xf numFmtId="0" fontId="0" fillId="7" borderId="108" xfId="0" applyFill="1" applyBorder="1" applyAlignment="1">
      <alignment horizontal="left"/>
    </xf>
    <xf numFmtId="0" fontId="1" fillId="18" borderId="26" xfId="3" applyFont="1" applyFill="1" applyBorder="1" applyAlignment="1">
      <alignment horizontal="center" vertical="center"/>
    </xf>
    <xf numFmtId="0" fontId="4" fillId="13" borderId="107" xfId="0" applyFont="1" applyFill="1" applyBorder="1" applyAlignment="1">
      <alignment horizontal="center" vertical="center"/>
    </xf>
    <xf numFmtId="44" fontId="0" fillId="7" borderId="1" xfId="0" applyNumberFormat="1" applyFill="1" applyBorder="1"/>
    <xf numFmtId="44" fontId="0" fillId="14" borderId="1" xfId="0" applyNumberFormat="1" applyFill="1" applyBorder="1"/>
    <xf numFmtId="44" fontId="0" fillId="22" borderId="1" xfId="0" applyNumberFormat="1" applyFill="1" applyBorder="1"/>
    <xf numFmtId="0" fontId="4" fillId="0" borderId="0" xfId="3" applyFont="1" applyAlignment="1">
      <alignment vertical="center" wrapText="1"/>
    </xf>
    <xf numFmtId="0" fontId="4" fillId="11" borderId="4" xfId="3" applyFont="1" applyFill="1" applyBorder="1" applyAlignment="1">
      <alignment horizontal="center" vertical="center" wrapText="1"/>
    </xf>
    <xf numFmtId="0" fontId="4" fillId="9" borderId="4" xfId="3" applyFont="1" applyFill="1" applyBorder="1" applyAlignment="1">
      <alignment horizontal="center" vertical="center" wrapText="1"/>
    </xf>
    <xf numFmtId="0" fontId="20" fillId="7" borderId="9" xfId="3" applyFont="1" applyFill="1" applyBorder="1" applyAlignment="1">
      <alignment horizontal="right" vertical="center" wrapText="1"/>
    </xf>
    <xf numFmtId="9" fontId="20" fillId="7" borderId="11" xfId="4" applyFont="1" applyFill="1" applyBorder="1" applyAlignment="1">
      <alignment vertical="center"/>
    </xf>
    <xf numFmtId="0" fontId="20" fillId="7" borderId="51" xfId="3" applyFont="1" applyFill="1" applyBorder="1" applyAlignment="1">
      <alignment vertical="center"/>
    </xf>
    <xf numFmtId="0" fontId="0" fillId="7" borderId="1" xfId="0" applyFill="1" applyBorder="1"/>
    <xf numFmtId="0" fontId="4" fillId="7" borderId="40" xfId="3" applyFont="1" applyFill="1" applyBorder="1" applyAlignment="1">
      <alignment horizontal="center" vertical="center"/>
    </xf>
    <xf numFmtId="0" fontId="4" fillId="7" borderId="43" xfId="3" applyFont="1" applyFill="1" applyBorder="1" applyAlignment="1">
      <alignment horizontal="center" vertical="center"/>
    </xf>
    <xf numFmtId="0" fontId="24" fillId="0" borderId="43" xfId="3" applyFont="1" applyBorder="1" applyAlignment="1">
      <alignment horizontal="center" vertical="center"/>
    </xf>
    <xf numFmtId="0" fontId="4" fillId="7" borderId="33" xfId="3" applyFont="1" applyFill="1" applyBorder="1" applyAlignment="1">
      <alignment horizontal="center" vertical="center" wrapText="1"/>
    </xf>
    <xf numFmtId="0" fontId="24" fillId="0" borderId="44" xfId="3" applyFont="1" applyBorder="1" applyAlignment="1">
      <alignment horizontal="center" vertical="center"/>
    </xf>
    <xf numFmtId="0" fontId="20" fillId="0" borderId="43" xfId="3" applyFont="1" applyBorder="1" applyAlignment="1">
      <alignment vertical="center"/>
    </xf>
    <xf numFmtId="0" fontId="20" fillId="7" borderId="12" xfId="3" applyFont="1" applyFill="1" applyBorder="1" applyAlignment="1">
      <alignment vertical="center" wrapText="1"/>
    </xf>
    <xf numFmtId="0" fontId="5" fillId="0" borderId="37" xfId="3" applyFont="1" applyBorder="1" applyAlignment="1">
      <alignment vertical="center" wrapText="1"/>
    </xf>
    <xf numFmtId="44" fontId="20" fillId="7" borderId="0" xfId="2" applyFont="1" applyFill="1" applyBorder="1" applyAlignment="1">
      <alignment vertical="center" wrapText="1"/>
    </xf>
    <xf numFmtId="44" fontId="20" fillId="18" borderId="9" xfId="2" applyFont="1" applyFill="1" applyBorder="1" applyAlignment="1">
      <alignment vertical="center" wrapText="1"/>
    </xf>
    <xf numFmtId="44" fontId="20" fillId="18" borderId="11" xfId="2" applyFont="1" applyFill="1" applyBorder="1" applyAlignment="1">
      <alignment vertical="center" wrapText="1"/>
    </xf>
    <xf numFmtId="44" fontId="20" fillId="18" borderId="12" xfId="2" applyFont="1" applyFill="1" applyBorder="1" applyAlignment="1">
      <alignment vertical="center" wrapText="1"/>
    </xf>
    <xf numFmtId="44" fontId="20" fillId="18" borderId="46" xfId="2" applyFont="1" applyFill="1" applyBorder="1" applyAlignment="1">
      <alignment vertical="center" wrapText="1"/>
    </xf>
    <xf numFmtId="0" fontId="20" fillId="7" borderId="51" xfId="3" applyFont="1" applyFill="1" applyBorder="1" applyAlignment="1">
      <alignment vertical="center" wrapText="1"/>
    </xf>
    <xf numFmtId="0" fontId="4" fillId="13" borderId="1" xfId="0" applyFont="1" applyFill="1" applyBorder="1" applyAlignment="1">
      <alignment horizontal="center" vertical="center"/>
    </xf>
    <xf numFmtId="9" fontId="0" fillId="7" borderId="1" xfId="0" applyNumberFormat="1" applyFill="1" applyBorder="1"/>
    <xf numFmtId="9" fontId="0" fillId="14" borderId="1" xfId="0" applyNumberFormat="1" applyFill="1" applyBorder="1"/>
    <xf numFmtId="0" fontId="0" fillId="14" borderId="1" xfId="0" applyFill="1" applyBorder="1"/>
    <xf numFmtId="0" fontId="5" fillId="0" borderId="81" xfId="0" applyFont="1" applyBorder="1" applyAlignment="1">
      <alignment horizontal="center" vertical="center" wrapText="1"/>
    </xf>
    <xf numFmtId="0" fontId="5" fillId="0" borderId="82" xfId="0" applyFont="1" applyBorder="1" applyAlignment="1">
      <alignment horizontal="center" vertical="center" wrapText="1"/>
    </xf>
    <xf numFmtId="0" fontId="5" fillId="0" borderId="66" xfId="0" applyFont="1" applyBorder="1" applyAlignment="1">
      <alignment horizontal="center" vertical="center" wrapText="1"/>
    </xf>
    <xf numFmtId="0" fontId="5" fillId="0" borderId="67" xfId="0" applyFont="1" applyBorder="1" applyAlignment="1">
      <alignment horizontal="center" vertical="center" wrapText="1"/>
    </xf>
    <xf numFmtId="0" fontId="5" fillId="0" borderId="84" xfId="0" applyFont="1" applyBorder="1" applyAlignment="1">
      <alignment horizontal="center" vertical="center" wrapText="1"/>
    </xf>
    <xf numFmtId="0" fontId="5" fillId="0" borderId="90" xfId="0" applyFont="1" applyBorder="1" applyAlignment="1">
      <alignment horizontal="center" vertical="center" wrapText="1"/>
    </xf>
    <xf numFmtId="0" fontId="5" fillId="0" borderId="91"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89" xfId="0" applyFont="1" applyBorder="1" applyAlignment="1">
      <alignment horizontal="center" vertical="center" wrapText="1"/>
    </xf>
    <xf numFmtId="0" fontId="7" fillId="14" borderId="24" xfId="0" applyFont="1" applyFill="1" applyBorder="1" applyAlignment="1">
      <alignment horizontal="center" vertical="center" wrapText="1"/>
    </xf>
    <xf numFmtId="0" fontId="7" fillId="0" borderId="96" xfId="0" applyFont="1" applyBorder="1" applyAlignment="1">
      <alignment horizontal="center" vertical="center" wrapText="1"/>
    </xf>
    <xf numFmtId="0" fontId="5" fillId="0" borderId="104" xfId="0" applyFont="1" applyBorder="1" applyAlignment="1">
      <alignment horizontal="center" vertical="center" wrapText="1"/>
    </xf>
    <xf numFmtId="0" fontId="7" fillId="0" borderId="61" xfId="0" applyFont="1" applyBorder="1" applyAlignment="1">
      <alignment horizontal="center" vertical="center"/>
    </xf>
    <xf numFmtId="0" fontId="7" fillId="0" borderId="26" xfId="0" applyFont="1" applyBorder="1" applyAlignment="1">
      <alignment horizontal="center" vertical="center"/>
    </xf>
    <xf numFmtId="0" fontId="7" fillId="0" borderId="105" xfId="0" applyFont="1" applyBorder="1" applyAlignment="1">
      <alignment horizontal="center" vertical="center"/>
    </xf>
    <xf numFmtId="0" fontId="4" fillId="0" borderId="23" xfId="0" applyFont="1" applyBorder="1" applyAlignment="1">
      <alignment horizontal="center" vertical="center" wrapText="1"/>
    </xf>
    <xf numFmtId="0" fontId="0" fillId="0" borderId="46" xfId="0" applyBorder="1" applyAlignment="1">
      <alignment horizontal="center" vertical="center"/>
    </xf>
    <xf numFmtId="0" fontId="0" fillId="0" borderId="12" xfId="0" applyBorder="1" applyAlignment="1">
      <alignment horizontal="center" vertical="center"/>
    </xf>
    <xf numFmtId="0" fontId="0" fillId="0" borderId="17" xfId="0" applyBorder="1" applyAlignment="1">
      <alignment horizontal="left" vertical="center" wrapText="1"/>
    </xf>
    <xf numFmtId="49" fontId="0" fillId="0" borderId="51" xfId="0" applyNumberFormat="1" applyBorder="1" applyAlignment="1">
      <alignment horizontal="center" vertical="center" wrapText="1"/>
    </xf>
    <xf numFmtId="49" fontId="0" fillId="0" borderId="16" xfId="0" applyNumberFormat="1" applyBorder="1" applyAlignment="1">
      <alignment horizontal="center" vertical="center" wrapText="1"/>
    </xf>
    <xf numFmtId="49" fontId="0" fillId="0" borderId="16" xfId="0" quotePrefix="1" applyNumberFormat="1" applyBorder="1" applyAlignment="1">
      <alignment horizontal="center" vertical="center" wrapText="1"/>
    </xf>
    <xf numFmtId="0" fontId="0" fillId="13" borderId="106" xfId="0" applyFill="1" applyBorder="1" applyAlignment="1">
      <alignment horizontal="center" vertical="center" wrapText="1"/>
    </xf>
    <xf numFmtId="0" fontId="0" fillId="13" borderId="15" xfId="0" applyFill="1" applyBorder="1" applyAlignment="1">
      <alignment horizontal="center" vertical="center" wrapText="1"/>
    </xf>
    <xf numFmtId="0" fontId="38" fillId="0" borderId="0" xfId="0" applyFont="1" applyAlignment="1">
      <alignment horizontal="left" vertical="center" wrapText="1"/>
    </xf>
    <xf numFmtId="0" fontId="10" fillId="0" borderId="0" xfId="0" applyFont="1" applyAlignment="1">
      <alignment horizontal="left" vertical="center" wrapText="1"/>
    </xf>
    <xf numFmtId="0" fontId="5" fillId="0" borderId="4" xfId="0" applyFont="1" applyBorder="1" applyAlignment="1">
      <alignment horizontal="left" vertical="center" wrapText="1"/>
    </xf>
    <xf numFmtId="0" fontId="7" fillId="0" borderId="4" xfId="0" applyFont="1" applyBorder="1" applyAlignment="1">
      <alignment horizontal="left" vertical="center" wrapText="1"/>
    </xf>
    <xf numFmtId="9" fontId="20" fillId="18" borderId="12" xfId="2" applyNumberFormat="1" applyFont="1" applyFill="1" applyBorder="1" applyAlignment="1">
      <alignment vertical="center"/>
    </xf>
    <xf numFmtId="9" fontId="20" fillId="18" borderId="46" xfId="2" applyNumberFormat="1" applyFont="1" applyFill="1" applyBorder="1" applyAlignment="1">
      <alignment vertical="center"/>
    </xf>
    <xf numFmtId="9" fontId="20" fillId="18" borderId="12" xfId="4" applyFont="1" applyFill="1" applyBorder="1" applyAlignment="1">
      <alignment vertical="center" wrapText="1"/>
    </xf>
    <xf numFmtId="9" fontId="20" fillId="18" borderId="46" xfId="4" applyFont="1" applyFill="1" applyBorder="1" applyAlignment="1">
      <alignment vertical="center" wrapText="1"/>
    </xf>
    <xf numFmtId="9" fontId="20" fillId="18" borderId="12" xfId="4" applyFont="1" applyFill="1" applyBorder="1" applyAlignment="1">
      <alignment vertical="center"/>
    </xf>
    <xf numFmtId="9" fontId="20" fillId="18" borderId="46" xfId="4" applyFont="1" applyFill="1" applyBorder="1" applyAlignment="1">
      <alignment vertical="center"/>
    </xf>
    <xf numFmtId="0" fontId="20" fillId="7" borderId="12" xfId="3" applyFont="1" applyFill="1" applyBorder="1" applyAlignment="1">
      <alignment horizontal="right" vertical="top" wrapText="1"/>
    </xf>
    <xf numFmtId="44" fontId="20" fillId="18" borderId="15" xfId="2" applyFont="1" applyFill="1" applyBorder="1" applyAlignment="1">
      <alignment vertical="center"/>
    </xf>
    <xf numFmtId="44" fontId="20" fillId="18" borderId="16" xfId="2" applyFont="1" applyFill="1" applyBorder="1" applyAlignment="1">
      <alignment vertical="center"/>
    </xf>
    <xf numFmtId="0" fontId="4" fillId="11" borderId="3" xfId="3" applyFont="1" applyFill="1" applyBorder="1" applyAlignment="1">
      <alignment horizontal="center" vertical="center" wrapText="1"/>
    </xf>
    <xf numFmtId="0" fontId="4" fillId="11" borderId="8" xfId="3" applyFont="1" applyFill="1" applyBorder="1" applyAlignment="1">
      <alignment horizontal="center" vertical="center" wrapText="1"/>
    </xf>
    <xf numFmtId="0" fontId="29" fillId="17" borderId="26" xfId="3" applyFont="1" applyFill="1" applyBorder="1" applyAlignment="1">
      <alignment horizontal="center" vertical="center"/>
    </xf>
    <xf numFmtId="0" fontId="29" fillId="17" borderId="0" xfId="3" applyFont="1" applyFill="1" applyAlignment="1">
      <alignment horizontal="center" vertical="center"/>
    </xf>
    <xf numFmtId="0" fontId="29" fillId="17" borderId="43" xfId="3" applyFont="1" applyFill="1" applyBorder="1" applyAlignment="1">
      <alignment horizontal="center" vertical="center"/>
    </xf>
    <xf numFmtId="0" fontId="24" fillId="12" borderId="62" xfId="3" applyFont="1" applyFill="1" applyBorder="1" applyAlignment="1">
      <alignment horizontal="center" vertical="center"/>
    </xf>
    <xf numFmtId="0" fontId="24" fillId="12" borderId="63" xfId="3" applyFont="1" applyFill="1" applyBorder="1" applyAlignment="1">
      <alignment horizontal="center" vertical="center"/>
    </xf>
    <xf numFmtId="0" fontId="24" fillId="20" borderId="70" xfId="3" applyFont="1" applyFill="1" applyBorder="1" applyAlignment="1">
      <alignment horizontal="center" vertical="center"/>
    </xf>
    <xf numFmtId="0" fontId="24" fillId="20" borderId="71" xfId="3" applyFont="1" applyFill="1" applyBorder="1" applyAlignment="1">
      <alignment horizontal="center" vertical="center"/>
    </xf>
    <xf numFmtId="0" fontId="24" fillId="20" borderId="72" xfId="3" applyFont="1" applyFill="1" applyBorder="1" applyAlignment="1">
      <alignment horizontal="center" vertical="center"/>
    </xf>
    <xf numFmtId="0" fontId="4" fillId="8" borderId="24" xfId="3" applyFont="1" applyFill="1" applyBorder="1" applyAlignment="1">
      <alignment horizontal="center" vertical="center" wrapText="1"/>
    </xf>
    <xf numFmtId="0" fontId="4" fillId="8" borderId="18" xfId="3" applyFont="1" applyFill="1" applyBorder="1" applyAlignment="1">
      <alignment horizontal="center" vertical="center" wrapText="1"/>
    </xf>
    <xf numFmtId="0" fontId="4" fillId="8" borderId="3" xfId="3" applyFont="1" applyFill="1" applyBorder="1" applyAlignment="1">
      <alignment horizontal="center" vertical="center" wrapText="1"/>
    </xf>
    <xf numFmtId="0" fontId="4" fillId="8" borderId="8" xfId="3" applyFont="1" applyFill="1" applyBorder="1" applyAlignment="1">
      <alignment horizontal="center" vertical="center" wrapText="1"/>
    </xf>
    <xf numFmtId="0" fontId="24" fillId="20" borderId="24" xfId="3" applyFont="1" applyFill="1" applyBorder="1" applyAlignment="1">
      <alignment horizontal="center" vertical="center"/>
    </xf>
    <xf numFmtId="0" fontId="24" fillId="20" borderId="31" xfId="3" applyFont="1" applyFill="1" applyBorder="1" applyAlignment="1">
      <alignment horizontal="center" vertical="center"/>
    </xf>
    <xf numFmtId="0" fontId="24" fillId="20" borderId="18" xfId="3" applyFont="1" applyFill="1" applyBorder="1" applyAlignment="1">
      <alignment horizontal="center" vertical="center"/>
    </xf>
    <xf numFmtId="0" fontId="4" fillId="8" borderId="5" xfId="3" applyFont="1" applyFill="1" applyBorder="1" applyAlignment="1">
      <alignment horizontal="center" vertical="center" wrapText="1"/>
    </xf>
    <xf numFmtId="0" fontId="4" fillId="8" borderId="33" xfId="3" applyFont="1" applyFill="1" applyBorder="1" applyAlignment="1">
      <alignment horizontal="center" vertical="center" wrapText="1"/>
    </xf>
    <xf numFmtId="0" fontId="4" fillId="8" borderId="44" xfId="3" applyFont="1" applyFill="1" applyBorder="1" applyAlignment="1">
      <alignment horizontal="center" vertical="center" wrapText="1"/>
    </xf>
    <xf numFmtId="0" fontId="4" fillId="8" borderId="73" xfId="3" applyFont="1" applyFill="1" applyBorder="1" applyAlignment="1">
      <alignment horizontal="center" vertical="center" wrapText="1"/>
    </xf>
    <xf numFmtId="0" fontId="4" fillId="8" borderId="77" xfId="3" applyFont="1" applyFill="1" applyBorder="1" applyAlignment="1">
      <alignment horizontal="center" vertical="center" wrapText="1"/>
    </xf>
    <xf numFmtId="0" fontId="4" fillId="8" borderId="74" xfId="3" applyFont="1" applyFill="1" applyBorder="1" applyAlignment="1">
      <alignment horizontal="center" vertical="center" wrapText="1"/>
    </xf>
    <xf numFmtId="0" fontId="4" fillId="8" borderId="26" xfId="3" applyFont="1" applyFill="1" applyBorder="1" applyAlignment="1">
      <alignment horizontal="center" vertical="center" wrapText="1"/>
    </xf>
    <xf numFmtId="0" fontId="4" fillId="8" borderId="0" xfId="3" applyFont="1" applyFill="1" applyAlignment="1">
      <alignment horizontal="center" vertical="center" wrapText="1"/>
    </xf>
    <xf numFmtId="0" fontId="4" fillId="8" borderId="43" xfId="3" applyFont="1" applyFill="1" applyBorder="1" applyAlignment="1">
      <alignment horizontal="center" vertical="center" wrapText="1"/>
    </xf>
    <xf numFmtId="0" fontId="24" fillId="20" borderId="25" xfId="3" applyFont="1" applyFill="1" applyBorder="1" applyAlignment="1">
      <alignment horizontal="center" vertical="center"/>
    </xf>
    <xf numFmtId="0" fontId="24" fillId="20" borderId="34" xfId="3" applyFont="1" applyFill="1" applyBorder="1" applyAlignment="1">
      <alignment horizontal="center" vertical="center"/>
    </xf>
    <xf numFmtId="0" fontId="24" fillId="20" borderId="40" xfId="3" applyFont="1" applyFill="1" applyBorder="1" applyAlignment="1">
      <alignment horizontal="center" vertical="center"/>
    </xf>
    <xf numFmtId="0" fontId="4" fillId="8" borderId="31" xfId="3" applyFont="1" applyFill="1" applyBorder="1" applyAlignment="1">
      <alignment horizontal="center" vertical="center" wrapText="1"/>
    </xf>
    <xf numFmtId="0" fontId="4" fillId="11" borderId="24" xfId="3" applyFont="1" applyFill="1" applyBorder="1" applyAlignment="1">
      <alignment horizontal="center" vertical="center" wrapText="1"/>
    </xf>
    <xf numFmtId="0" fontId="4" fillId="11" borderId="18" xfId="3" applyFont="1" applyFill="1" applyBorder="1" applyAlignment="1">
      <alignment horizontal="center" vertical="center" wrapText="1"/>
    </xf>
    <xf numFmtId="0" fontId="4" fillId="8" borderId="25" xfId="3" applyFont="1" applyFill="1" applyBorder="1" applyAlignment="1">
      <alignment horizontal="center" vertical="center" wrapText="1"/>
    </xf>
    <xf numFmtId="0" fontId="4" fillId="8" borderId="34" xfId="3" applyFont="1" applyFill="1" applyBorder="1" applyAlignment="1">
      <alignment horizontal="center" vertical="center" wrapText="1"/>
    </xf>
    <xf numFmtId="0" fontId="4" fillId="8" borderId="40" xfId="3" applyFont="1" applyFill="1" applyBorder="1" applyAlignment="1">
      <alignment horizontal="center" vertical="center" wrapText="1"/>
    </xf>
    <xf numFmtId="0" fontId="8" fillId="14" borderId="25" xfId="0" applyFont="1" applyFill="1" applyBorder="1" applyAlignment="1">
      <alignment horizontal="center" vertical="center" wrapText="1"/>
    </xf>
    <xf numFmtId="0" fontId="8" fillId="14" borderId="5" xfId="0" applyFont="1" applyFill="1" applyBorder="1" applyAlignment="1">
      <alignment horizontal="center" vertical="center" wrapText="1"/>
    </xf>
    <xf numFmtId="0" fontId="11" fillId="2" borderId="24" xfId="0" applyFont="1" applyFill="1" applyBorder="1" applyAlignment="1">
      <alignment horizontal="center" vertical="center"/>
    </xf>
    <xf numFmtId="0" fontId="11" fillId="2" borderId="31" xfId="0" applyFont="1" applyFill="1" applyBorder="1" applyAlignment="1">
      <alignment horizontal="center" vertical="center"/>
    </xf>
    <xf numFmtId="0" fontId="11" fillId="2" borderId="18" xfId="0" applyFont="1" applyFill="1" applyBorder="1" applyAlignment="1">
      <alignment horizontal="center" vertical="center"/>
    </xf>
    <xf numFmtId="0" fontId="8" fillId="14" borderId="2" xfId="0" applyFont="1" applyFill="1" applyBorder="1" applyAlignment="1">
      <alignment horizontal="center" vertical="center" wrapText="1"/>
    </xf>
    <xf numFmtId="0" fontId="8" fillId="14" borderId="22" xfId="0" applyFont="1" applyFill="1" applyBorder="1" applyAlignment="1">
      <alignment horizontal="center" vertical="center" wrapText="1"/>
    </xf>
    <xf numFmtId="0" fontId="8" fillId="14" borderId="23" xfId="0" applyFont="1" applyFill="1" applyBorder="1" applyAlignment="1">
      <alignment horizontal="center" vertical="center" wrapText="1"/>
    </xf>
    <xf numFmtId="0" fontId="8" fillId="14" borderId="26" xfId="0" applyFont="1" applyFill="1" applyBorder="1" applyAlignment="1">
      <alignment horizontal="center" vertical="center" wrapText="1"/>
    </xf>
    <xf numFmtId="0" fontId="9" fillId="14" borderId="25" xfId="0" applyFont="1" applyFill="1" applyBorder="1" applyAlignment="1">
      <alignment horizontal="center" vertical="center" wrapText="1"/>
    </xf>
    <xf numFmtId="0" fontId="9" fillId="14" borderId="5" xfId="0" applyFont="1" applyFill="1" applyBorder="1" applyAlignment="1">
      <alignment horizontal="center" vertical="center" wrapText="1"/>
    </xf>
    <xf numFmtId="0" fontId="24" fillId="19" borderId="24" xfId="0" applyFont="1" applyFill="1" applyBorder="1" applyAlignment="1">
      <alignment horizontal="center" vertical="center"/>
    </xf>
    <xf numFmtId="0" fontId="24" fillId="19" borderId="31" xfId="0" applyFont="1" applyFill="1" applyBorder="1" applyAlignment="1">
      <alignment horizontal="center" vertical="center"/>
    </xf>
    <xf numFmtId="0" fontId="24" fillId="19" borderId="18" xfId="0" applyFont="1" applyFill="1" applyBorder="1" applyAlignment="1">
      <alignment horizontal="center" vertical="center"/>
    </xf>
    <xf numFmtId="0" fontId="24" fillId="20" borderId="24" xfId="0" applyFont="1" applyFill="1" applyBorder="1" applyAlignment="1">
      <alignment horizontal="center" vertical="center"/>
    </xf>
    <xf numFmtId="0" fontId="24" fillId="20" borderId="31" xfId="0" applyFont="1" applyFill="1" applyBorder="1" applyAlignment="1">
      <alignment horizontal="center" vertical="center"/>
    </xf>
    <xf numFmtId="0" fontId="24" fillId="20" borderId="18" xfId="0" applyFont="1" applyFill="1" applyBorder="1" applyAlignment="1">
      <alignment horizontal="center" vertical="center"/>
    </xf>
    <xf numFmtId="0" fontId="7" fillId="13" borderId="24" xfId="0" applyFont="1" applyFill="1" applyBorder="1" applyAlignment="1">
      <alignment horizontal="center" vertical="center" wrapText="1"/>
    </xf>
    <xf numFmtId="0" fontId="7" fillId="13" borderId="18" xfId="0" applyFont="1" applyFill="1" applyBorder="1" applyAlignment="1">
      <alignment horizontal="center" vertical="center" wrapText="1"/>
    </xf>
    <xf numFmtId="0" fontId="7" fillId="13" borderId="24" xfId="0" applyFont="1" applyFill="1" applyBorder="1" applyAlignment="1">
      <alignment horizontal="center" vertical="center"/>
    </xf>
    <xf numFmtId="0" fontId="7" fillId="13" borderId="31" xfId="0" applyFont="1" applyFill="1" applyBorder="1" applyAlignment="1">
      <alignment horizontal="center" vertical="center"/>
    </xf>
    <xf numFmtId="0" fontId="7" fillId="13" borderId="18"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31" xfId="0" applyFont="1" applyFill="1" applyBorder="1" applyAlignment="1">
      <alignment horizontal="center" vertical="center"/>
    </xf>
    <xf numFmtId="0" fontId="22" fillId="2" borderId="18" xfId="0" applyFont="1" applyFill="1" applyBorder="1" applyAlignment="1">
      <alignment horizontal="center" vertical="center"/>
    </xf>
    <xf numFmtId="0" fontId="7" fillId="13" borderId="31" xfId="0" applyFont="1" applyFill="1" applyBorder="1" applyAlignment="1">
      <alignment horizontal="center" vertical="center" wrapText="1"/>
    </xf>
    <xf numFmtId="0" fontId="7" fillId="13" borderId="5" xfId="0" applyFont="1" applyFill="1" applyBorder="1" applyAlignment="1">
      <alignment horizontal="center" vertical="center" wrapText="1"/>
    </xf>
    <xf numFmtId="0" fontId="7" fillId="13" borderId="44" xfId="0" applyFont="1" applyFill="1" applyBorder="1" applyAlignment="1">
      <alignment horizontal="center" vertical="center" wrapText="1"/>
    </xf>
    <xf numFmtId="0" fontId="7" fillId="13" borderId="102" xfId="0" applyFont="1" applyFill="1" applyBorder="1" applyAlignment="1">
      <alignment horizontal="center" vertical="center" wrapText="1"/>
    </xf>
    <xf numFmtId="0" fontId="7" fillId="13" borderId="103" xfId="0" applyFont="1" applyFill="1" applyBorder="1" applyAlignment="1">
      <alignment horizontal="center" vertical="center" wrapText="1"/>
    </xf>
    <xf numFmtId="0" fontId="5" fillId="0" borderId="49" xfId="0" applyFont="1" applyBorder="1" applyAlignment="1">
      <alignment horizontal="center" vertical="center" wrapText="1"/>
    </xf>
    <xf numFmtId="0" fontId="5" fillId="0" borderId="55"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5" xfId="0" applyFont="1" applyBorder="1" applyAlignment="1">
      <alignment horizontal="center" vertical="center" wrapText="1"/>
    </xf>
    <xf numFmtId="0" fontId="8" fillId="14" borderId="79" xfId="0" applyFont="1" applyFill="1" applyBorder="1" applyAlignment="1">
      <alignment horizontal="center" vertical="center" wrapText="1"/>
    </xf>
    <xf numFmtId="0" fontId="8" fillId="14" borderId="83" xfId="0" applyFont="1" applyFill="1" applyBorder="1" applyAlignment="1">
      <alignment horizontal="center" vertical="center" wrapText="1"/>
    </xf>
    <xf numFmtId="0" fontId="8" fillId="14" borderId="85"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23"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33" xfId="0" applyFont="1" applyBorder="1" applyAlignment="1">
      <alignment horizontal="center" vertical="center" wrapText="1"/>
    </xf>
    <xf numFmtId="0" fontId="7" fillId="13" borderId="94" xfId="0" applyFont="1" applyFill="1" applyBorder="1" applyAlignment="1">
      <alignment horizontal="center" vertical="center" wrapText="1"/>
    </xf>
    <xf numFmtId="0" fontId="7" fillId="13" borderId="95" xfId="0" applyFont="1" applyFill="1" applyBorder="1" applyAlignment="1">
      <alignment horizontal="center" vertical="center" wrapText="1"/>
    </xf>
    <xf numFmtId="0" fontId="7" fillId="13" borderId="57" xfId="0" applyFont="1" applyFill="1" applyBorder="1" applyAlignment="1">
      <alignment horizontal="center" vertical="center" wrapText="1"/>
    </xf>
    <xf numFmtId="0" fontId="7" fillId="13" borderId="59" xfId="0" applyFont="1" applyFill="1" applyBorder="1" applyAlignment="1">
      <alignment horizontal="center" vertical="center" wrapText="1"/>
    </xf>
    <xf numFmtId="0" fontId="29" fillId="10" borderId="26" xfId="0" applyFont="1" applyFill="1" applyBorder="1" applyAlignment="1">
      <alignment horizontal="center"/>
    </xf>
    <xf numFmtId="0" fontId="29" fillId="10" borderId="0" xfId="0" applyFont="1" applyFill="1" applyAlignment="1">
      <alignment horizontal="center"/>
    </xf>
    <xf numFmtId="0" fontId="4" fillId="6" borderId="24" xfId="0" applyFont="1" applyFill="1" applyBorder="1" applyAlignment="1">
      <alignment horizontal="center" vertical="center"/>
    </xf>
    <xf numFmtId="0" fontId="4" fillId="6" borderId="31" xfId="0" applyFont="1" applyFill="1" applyBorder="1" applyAlignment="1">
      <alignment horizontal="center" vertical="center"/>
    </xf>
    <xf numFmtId="0" fontId="4" fillId="6" borderId="18" xfId="0" applyFont="1" applyFill="1" applyBorder="1" applyAlignment="1">
      <alignment horizontal="center" vertical="center"/>
    </xf>
    <xf numFmtId="0" fontId="3" fillId="5" borderId="25"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0" xfId="0" applyBorder="1" applyAlignment="1">
      <alignment horizontal="center" vertical="center" wrapText="1"/>
    </xf>
    <xf numFmtId="0" fontId="8" fillId="0" borderId="2"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cellXfs>
  <cellStyles count="7">
    <cellStyle name="Currency" xfId="2" builtinId="4"/>
    <cellStyle name="Currency 2" xfId="5" xr:uid="{CC7AEABC-296A-4AF1-89CC-6770AF63FB7D}"/>
    <cellStyle name="Normal" xfId="0" builtinId="0"/>
    <cellStyle name="Normal 2" xfId="3" xr:uid="{3748940C-18B9-4801-AD05-03763F7ABC3A}"/>
    <cellStyle name="Normal 2 2" xfId="6" xr:uid="{C627DB4B-B7D8-4633-8D0D-52E0C31C9C0F}"/>
    <cellStyle name="Percent" xfId="4" builtinId="5"/>
    <cellStyle name="표준 2 4 2 2" xfId="1" xr:uid="{B3290EB9-1BF0-462E-BE08-88EDDED14714}"/>
  </cellStyles>
  <dxfs count="0"/>
  <tableStyles count="0" defaultTableStyle="TableStyleMedium2" defaultPivotStyle="PivotStyleLight16"/>
  <colors>
    <mruColors>
      <color rgb="FFFFFFC1"/>
      <color rgb="FF29C7FF"/>
      <color rgb="FF0000FF"/>
      <color rgb="FF00CCFF"/>
      <color rgb="FF660066"/>
      <color rgb="FF663300"/>
      <color rgb="FFFFFF99"/>
      <color rgb="FFFEF2EC"/>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6</xdr:col>
      <xdr:colOff>495301</xdr:colOff>
      <xdr:row>1</xdr:row>
      <xdr:rowOff>22224</xdr:rowOff>
    </xdr:from>
    <xdr:to>
      <xdr:col>7</xdr:col>
      <xdr:colOff>1028700</xdr:colOff>
      <xdr:row>3</xdr:row>
      <xdr:rowOff>104510</xdr:rowOff>
    </xdr:to>
    <xdr:pic>
      <xdr:nvPicPr>
        <xdr:cNvPr id="2" name="Picture 1" descr="Warner Bros. Discovery">
          <a:extLst>
            <a:ext uri="{FF2B5EF4-FFF2-40B4-BE49-F238E27FC236}">
              <a16:creationId xmlns:a16="http://schemas.microsoft.com/office/drawing/2014/main" id="{2015D0DC-25FF-4C64-A3CD-9F25FF0CEEEA}"/>
            </a:ext>
          </a:extLst>
        </xdr:cNvPr>
        <xdr:cNvPicPr>
          <a:picLocks noChangeAspect="1"/>
        </xdr:cNvPicPr>
      </xdr:nvPicPr>
      <xdr:blipFill>
        <a:blip xmlns:r="http://schemas.openxmlformats.org/officeDocument/2006/relationships" r:embed="rId1"/>
        <a:stretch>
          <a:fillRect/>
        </a:stretch>
      </xdr:blipFill>
      <xdr:spPr>
        <a:xfrm>
          <a:off x="11115676" y="212724"/>
          <a:ext cx="2676524" cy="5775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33</xdr:row>
      <xdr:rowOff>0</xdr:rowOff>
    </xdr:from>
    <xdr:ext cx="304800" cy="304800"/>
    <xdr:sp macro="" textlink="">
      <xdr:nvSpPr>
        <xdr:cNvPr id="2" name="AutoShape 1">
          <a:extLst>
            <a:ext uri="{FF2B5EF4-FFF2-40B4-BE49-F238E27FC236}">
              <a16:creationId xmlns:a16="http://schemas.microsoft.com/office/drawing/2014/main" id="{286B62FB-909C-4291-BD16-19E862151A00}"/>
            </a:ext>
          </a:extLst>
        </xdr:cNvPr>
        <xdr:cNvSpPr>
          <a:spLocks noChangeAspect="1" noChangeArrowheads="1"/>
        </xdr:cNvSpPr>
      </xdr:nvSpPr>
      <xdr:spPr bwMode="auto">
        <a:xfrm>
          <a:off x="15125700"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xdr:row>
      <xdr:rowOff>0</xdr:rowOff>
    </xdr:from>
    <xdr:ext cx="304800" cy="304800"/>
    <xdr:sp macro="" textlink="">
      <xdr:nvSpPr>
        <xdr:cNvPr id="3" name="AutoShape 1">
          <a:extLst>
            <a:ext uri="{FF2B5EF4-FFF2-40B4-BE49-F238E27FC236}">
              <a16:creationId xmlns:a16="http://schemas.microsoft.com/office/drawing/2014/main" id="{D55766F8-6240-40AF-B64C-41D84CEDAD30}"/>
            </a:ext>
          </a:extLst>
        </xdr:cNvPr>
        <xdr:cNvSpPr>
          <a:spLocks noChangeAspect="1" noChangeArrowheads="1"/>
        </xdr:cNvSpPr>
      </xdr:nvSpPr>
      <xdr:spPr bwMode="auto">
        <a:xfrm>
          <a:off x="7562850"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33</xdr:row>
      <xdr:rowOff>0</xdr:rowOff>
    </xdr:from>
    <xdr:ext cx="304800" cy="304800"/>
    <xdr:sp macro="" textlink="">
      <xdr:nvSpPr>
        <xdr:cNvPr id="4" name="AutoShape 1">
          <a:extLst>
            <a:ext uri="{FF2B5EF4-FFF2-40B4-BE49-F238E27FC236}">
              <a16:creationId xmlns:a16="http://schemas.microsoft.com/office/drawing/2014/main" id="{C1191666-550F-4A42-B07B-63EF9C5A1EE0}"/>
            </a:ext>
          </a:extLst>
        </xdr:cNvPr>
        <xdr:cNvSpPr>
          <a:spLocks noChangeAspect="1" noChangeArrowheads="1"/>
        </xdr:cNvSpPr>
      </xdr:nvSpPr>
      <xdr:spPr bwMode="auto">
        <a:xfrm>
          <a:off x="11344275"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33</xdr:row>
      <xdr:rowOff>0</xdr:rowOff>
    </xdr:from>
    <xdr:ext cx="304800" cy="304800"/>
    <xdr:sp macro="" textlink="">
      <xdr:nvSpPr>
        <xdr:cNvPr id="5" name="AutoShape 1">
          <a:extLst>
            <a:ext uri="{FF2B5EF4-FFF2-40B4-BE49-F238E27FC236}">
              <a16:creationId xmlns:a16="http://schemas.microsoft.com/office/drawing/2014/main" id="{321E58F2-F865-4BD9-81C8-5FFC9DFA7C9B}"/>
            </a:ext>
          </a:extLst>
        </xdr:cNvPr>
        <xdr:cNvSpPr>
          <a:spLocks noChangeAspect="1" noChangeArrowheads="1"/>
        </xdr:cNvSpPr>
      </xdr:nvSpPr>
      <xdr:spPr bwMode="auto">
        <a:xfrm>
          <a:off x="11344275"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CBFC-F511-4469-BD5C-BFA65CC3A7C1}">
  <sheetPr>
    <tabColor theme="1" tint="0.499984740745262"/>
  </sheetPr>
  <dimension ref="A1:X430"/>
  <sheetViews>
    <sheetView zoomScale="74" zoomScaleNormal="115" workbookViewId="0">
      <pane xSplit="6" ySplit="1" topLeftCell="G113" activePane="bottomRight" state="frozen"/>
      <selection pane="topRight" activeCell="G1" sqref="G1"/>
      <selection pane="bottomLeft" activeCell="A2" sqref="A2"/>
      <selection pane="bottomRight"/>
    </sheetView>
  </sheetViews>
  <sheetFormatPr defaultRowHeight="14.5" x14ac:dyDescent="0.35"/>
  <cols>
    <col min="1" max="1" width="15.81640625" customWidth="1"/>
    <col min="2" max="2" width="21.54296875" bestFit="1" customWidth="1"/>
    <col min="3" max="3" width="17.453125" customWidth="1"/>
    <col min="4" max="4" width="27.1796875" bestFit="1" customWidth="1"/>
    <col min="5" max="5" width="13.26953125" customWidth="1"/>
    <col min="6" max="6" width="61" customWidth="1"/>
    <col min="7" max="7" width="22.26953125" customWidth="1"/>
    <col min="8" max="8" width="17.453125" customWidth="1"/>
    <col min="9" max="11" width="22.26953125" customWidth="1"/>
    <col min="12" max="12" width="38.54296875" bestFit="1" customWidth="1"/>
    <col min="13" max="13" width="22.26953125" customWidth="1"/>
    <col min="14" max="14" width="28.1796875" style="367" bestFit="1" customWidth="1"/>
    <col min="15" max="24" width="9.1796875" style="367"/>
  </cols>
  <sheetData>
    <row r="1" spans="1:24" s="365" customFormat="1" ht="27" customHeight="1" x14ac:dyDescent="0.35">
      <c r="A1" s="381" t="s">
        <v>0</v>
      </c>
      <c r="B1" s="381" t="s">
        <v>1</v>
      </c>
      <c r="C1" s="381" t="s">
        <v>2</v>
      </c>
      <c r="D1" s="381" t="s">
        <v>3</v>
      </c>
      <c r="E1" s="381" t="s">
        <v>4</v>
      </c>
      <c r="F1" s="381" t="s">
        <v>5</v>
      </c>
      <c r="G1" s="406" t="s">
        <v>6</v>
      </c>
      <c r="H1" s="406" t="s">
        <v>7</v>
      </c>
      <c r="I1" s="406" t="s">
        <v>8</v>
      </c>
      <c r="J1" s="406" t="s">
        <v>9</v>
      </c>
      <c r="K1" s="406" t="s">
        <v>10</v>
      </c>
      <c r="L1" s="406" t="s">
        <v>11</v>
      </c>
      <c r="M1" s="406" t="s">
        <v>12</v>
      </c>
      <c r="N1" s="406" t="s">
        <v>13</v>
      </c>
      <c r="O1" s="364"/>
      <c r="P1" s="364"/>
      <c r="Q1" s="364"/>
      <c r="R1" s="364"/>
      <c r="S1" s="364"/>
      <c r="T1" s="364"/>
      <c r="U1" s="364"/>
      <c r="V1" s="364"/>
      <c r="W1" s="364"/>
      <c r="X1" s="364"/>
    </row>
    <row r="2" spans="1:24" s="367" customFormat="1" ht="15.75" customHeight="1" x14ac:dyDescent="0.35">
      <c r="A2" s="371" t="str">
        <f>'Summary (READ FIRST)'!$B$8</f>
        <v>Supplier 1</v>
      </c>
      <c r="B2" s="379" t="str">
        <f>'Summary (READ FIRST)'!$B$11</f>
        <v>English</v>
      </c>
      <c r="C2" s="366" t="s">
        <v>14</v>
      </c>
      <c r="D2" s="366" t="s">
        <v>15</v>
      </c>
      <c r="E2" s="366" t="s">
        <v>16</v>
      </c>
      <c r="F2" s="366" t="s">
        <v>17</v>
      </c>
      <c r="G2" s="382">
        <f>Subtitling!E12</f>
        <v>26</v>
      </c>
      <c r="H2" s="382">
        <f>Subtitling!F12</f>
        <v>16</v>
      </c>
      <c r="I2" s="382"/>
      <c r="J2" s="382">
        <f>Subtitling!$W$12</f>
        <v>1</v>
      </c>
      <c r="K2" s="382">
        <f>Subtitling!$X$12</f>
        <v>0.5</v>
      </c>
      <c r="L2" s="382" t="str">
        <f>Subtitling!$Z$12</f>
        <v>Tools</v>
      </c>
      <c r="M2" s="407">
        <f>Subtitling!$AA$12</f>
        <v>0.15</v>
      </c>
      <c r="N2" s="391" t="str">
        <f>Subtitling!$AB$12</f>
        <v>Note 1</v>
      </c>
    </row>
    <row r="3" spans="1:24" s="367" customFormat="1" x14ac:dyDescent="0.35">
      <c r="A3" s="368" t="str">
        <f>'Summary (READ FIRST)'!$B$8</f>
        <v>Supplier 1</v>
      </c>
      <c r="B3" s="367" t="str">
        <f>'Summary (READ FIRST)'!$B$11</f>
        <v>English</v>
      </c>
      <c r="C3" s="367" t="s">
        <v>14</v>
      </c>
      <c r="D3" s="367" t="s">
        <v>15</v>
      </c>
      <c r="E3" s="367" t="s">
        <v>16</v>
      </c>
      <c r="F3" s="367" t="s">
        <v>18</v>
      </c>
      <c r="G3" s="382">
        <f>Subtitling!H12</f>
        <v>28</v>
      </c>
      <c r="H3" s="382">
        <f>Subtitling!I12</f>
        <v>25</v>
      </c>
      <c r="I3" s="382"/>
      <c r="J3" s="382">
        <f>Subtitling!$W$12</f>
        <v>1</v>
      </c>
      <c r="K3" s="382">
        <f>Subtitling!$X$12</f>
        <v>0.5</v>
      </c>
      <c r="L3" s="382" t="str">
        <f>Subtitling!$Z$12</f>
        <v>Tools</v>
      </c>
      <c r="M3" s="407">
        <f>Subtitling!$AA$12</f>
        <v>0.15</v>
      </c>
      <c r="N3" s="391" t="str">
        <f>Subtitling!$AB$12</f>
        <v>Note 1</v>
      </c>
    </row>
    <row r="4" spans="1:24" s="367" customFormat="1" x14ac:dyDescent="0.35">
      <c r="A4" s="368" t="str">
        <f>'Summary (READ FIRST)'!$B$8</f>
        <v>Supplier 1</v>
      </c>
      <c r="B4" s="367" t="str">
        <f>'Summary (READ FIRST)'!$B$11</f>
        <v>English</v>
      </c>
      <c r="C4" s="367" t="s">
        <v>14</v>
      </c>
      <c r="D4" s="367" t="s">
        <v>15</v>
      </c>
      <c r="E4" s="367" t="s">
        <v>16</v>
      </c>
      <c r="F4" s="367" t="s">
        <v>19</v>
      </c>
      <c r="G4" s="382">
        <f>Subtitling!K12</f>
        <v>22</v>
      </c>
      <c r="H4" s="382">
        <f>Subtitling!L12</f>
        <v>10</v>
      </c>
      <c r="I4" s="382"/>
      <c r="J4" s="382">
        <f>Subtitling!$W$12</f>
        <v>1</v>
      </c>
      <c r="K4" s="382">
        <f>Subtitling!$X$12</f>
        <v>0.5</v>
      </c>
      <c r="L4" s="382" t="str">
        <f>Subtitling!$Z$12</f>
        <v>Tools</v>
      </c>
      <c r="M4" s="407">
        <f>Subtitling!$AA$12</f>
        <v>0.15</v>
      </c>
      <c r="N4" s="391" t="str">
        <f>Subtitling!$AB$12</f>
        <v>Note 1</v>
      </c>
    </row>
    <row r="5" spans="1:24" s="367" customFormat="1" x14ac:dyDescent="0.35">
      <c r="A5" s="368" t="str">
        <f>'Summary (READ FIRST)'!$B$8</f>
        <v>Supplier 1</v>
      </c>
      <c r="B5" s="367" t="str">
        <f>'Summary (READ FIRST)'!$B$11</f>
        <v>English</v>
      </c>
      <c r="C5" s="367" t="s">
        <v>14</v>
      </c>
      <c r="D5" s="367" t="s">
        <v>15</v>
      </c>
      <c r="E5" s="367" t="s">
        <v>20</v>
      </c>
      <c r="F5" s="367" t="s">
        <v>21</v>
      </c>
      <c r="G5" s="382">
        <f>Subtitling!N12</f>
        <v>23</v>
      </c>
      <c r="H5" s="382">
        <f>Subtitling!O12</f>
        <v>17</v>
      </c>
      <c r="I5" s="382"/>
      <c r="J5" s="382">
        <f>Subtitling!$W$12</f>
        <v>1</v>
      </c>
      <c r="K5" s="382">
        <f>Subtitling!$X$12</f>
        <v>0.5</v>
      </c>
      <c r="L5" s="382" t="str">
        <f>Subtitling!$Z$12</f>
        <v>Tools</v>
      </c>
      <c r="M5" s="407">
        <f>Subtitling!$AA$12</f>
        <v>0.15</v>
      </c>
      <c r="N5" s="391" t="str">
        <f>Subtitling!$AB$12</f>
        <v>Note 1</v>
      </c>
    </row>
    <row r="6" spans="1:24" s="367" customFormat="1" x14ac:dyDescent="0.35">
      <c r="A6" s="368" t="str">
        <f>'Summary (READ FIRST)'!$B$8</f>
        <v>Supplier 1</v>
      </c>
      <c r="B6" s="367" t="str">
        <f>'Summary (READ FIRST)'!$B$11</f>
        <v>English</v>
      </c>
      <c r="C6" s="367" t="s">
        <v>14</v>
      </c>
      <c r="D6" s="367" t="s">
        <v>15</v>
      </c>
      <c r="E6" s="367" t="s">
        <v>20</v>
      </c>
      <c r="F6" s="367" t="s">
        <v>22</v>
      </c>
      <c r="G6" s="382">
        <f>Subtitling!Q12</f>
        <v>34</v>
      </c>
      <c r="H6" s="382">
        <f>Subtitling!R12</f>
        <v>0</v>
      </c>
      <c r="I6" s="382"/>
      <c r="J6" s="382">
        <f>Subtitling!$W$12</f>
        <v>1</v>
      </c>
      <c r="K6" s="382">
        <f>Subtitling!$X$12</f>
        <v>0.5</v>
      </c>
      <c r="L6" s="382" t="str">
        <f>Subtitling!$Z$12</f>
        <v>Tools</v>
      </c>
      <c r="M6" s="407">
        <f>Subtitling!$AA$12</f>
        <v>0.15</v>
      </c>
      <c r="N6" s="391" t="str">
        <f>Subtitling!$AB$12</f>
        <v>Note 1</v>
      </c>
    </row>
    <row r="7" spans="1:24" s="367" customFormat="1" x14ac:dyDescent="0.35">
      <c r="A7" s="369" t="str">
        <f>'Summary (READ FIRST)'!$B$8</f>
        <v>Supplier 1</v>
      </c>
      <c r="B7" s="370" t="str">
        <f>'Summary (READ FIRST)'!$B$11</f>
        <v>English</v>
      </c>
      <c r="C7" s="370" t="s">
        <v>14</v>
      </c>
      <c r="D7" s="370" t="s">
        <v>15</v>
      </c>
      <c r="E7" s="370" t="s">
        <v>20</v>
      </c>
      <c r="F7" s="370" t="s">
        <v>23</v>
      </c>
      <c r="G7" s="382">
        <f>Subtitling!T12</f>
        <v>19</v>
      </c>
      <c r="H7" s="382">
        <f>Subtitling!U12</f>
        <v>9</v>
      </c>
      <c r="I7" s="382"/>
      <c r="J7" s="382">
        <f>Subtitling!$W$12</f>
        <v>1</v>
      </c>
      <c r="K7" s="382">
        <f>Subtitling!$X$12</f>
        <v>0.5</v>
      </c>
      <c r="L7" s="382" t="str">
        <f>Subtitling!$Z$12</f>
        <v>Tools</v>
      </c>
      <c r="M7" s="407">
        <f>Subtitling!$AA$12</f>
        <v>0.15</v>
      </c>
      <c r="N7" s="391" t="str">
        <f>Subtitling!$AB$12</f>
        <v>Note 1</v>
      </c>
    </row>
    <row r="8" spans="1:24" s="367" customFormat="1" x14ac:dyDescent="0.35">
      <c r="A8" s="371" t="str">
        <f>'Summary (READ FIRST)'!$B$8</f>
        <v>Supplier 1</v>
      </c>
      <c r="B8" s="366" t="str">
        <f>'Summary (READ FIRST)'!$B$11</f>
        <v>English</v>
      </c>
      <c r="C8" s="366" t="s">
        <v>14</v>
      </c>
      <c r="D8" s="366" t="s">
        <v>24</v>
      </c>
      <c r="E8" s="366" t="s">
        <v>16</v>
      </c>
      <c r="F8" s="366" t="s">
        <v>17</v>
      </c>
      <c r="G8" s="382">
        <f>Subtitling!E13</f>
        <v>20</v>
      </c>
      <c r="H8" s="382">
        <f>Subtitling!F13</f>
        <v>8</v>
      </c>
      <c r="I8" s="382"/>
      <c r="J8" s="382">
        <f>Subtitling!$W$13</f>
        <v>1</v>
      </c>
      <c r="K8" s="382">
        <f>Subtitling!$X$13</f>
        <v>0.5</v>
      </c>
      <c r="L8" s="382" t="str">
        <f>Subtitling!$Z$13</f>
        <v>Workflow</v>
      </c>
      <c r="M8" s="407">
        <f>Subtitling!$AA$13</f>
        <v>0</v>
      </c>
      <c r="N8" s="391">
        <f>Subtitling!$AB$13</f>
        <v>0</v>
      </c>
    </row>
    <row r="9" spans="1:24" s="367" customFormat="1" x14ac:dyDescent="0.35">
      <c r="A9" s="368" t="str">
        <f>'Summary (READ FIRST)'!$B$8</f>
        <v>Supplier 1</v>
      </c>
      <c r="B9" s="367" t="str">
        <f>'Summary (READ FIRST)'!$B$11</f>
        <v>English</v>
      </c>
      <c r="C9" s="367" t="s">
        <v>14</v>
      </c>
      <c r="D9" s="367" t="s">
        <v>24</v>
      </c>
      <c r="E9" s="367" t="s">
        <v>16</v>
      </c>
      <c r="F9" s="367" t="s">
        <v>18</v>
      </c>
      <c r="G9" s="382">
        <f>Subtitling!H13</f>
        <v>21</v>
      </c>
      <c r="H9" s="382">
        <f>Subtitling!I13</f>
        <v>16</v>
      </c>
      <c r="I9" s="382"/>
      <c r="J9" s="382">
        <f>Subtitling!$W$13</f>
        <v>1</v>
      </c>
      <c r="K9" s="382">
        <f>Subtitling!$X$13</f>
        <v>0.5</v>
      </c>
      <c r="L9" s="382" t="str">
        <f>Subtitling!$Z$13</f>
        <v>Workflow</v>
      </c>
      <c r="M9" s="407">
        <f>Subtitling!$AA$13</f>
        <v>0</v>
      </c>
      <c r="N9" s="391">
        <f>Subtitling!$AB$13</f>
        <v>0</v>
      </c>
    </row>
    <row r="10" spans="1:24" s="367" customFormat="1" x14ac:dyDescent="0.35">
      <c r="A10" s="368" t="str">
        <f>'Summary (READ FIRST)'!$B$8</f>
        <v>Supplier 1</v>
      </c>
      <c r="B10" s="367" t="str">
        <f>'Summary (READ FIRST)'!$B$11</f>
        <v>English</v>
      </c>
      <c r="C10" s="367" t="s">
        <v>14</v>
      </c>
      <c r="D10" s="367" t="s">
        <v>24</v>
      </c>
      <c r="E10" s="367" t="s">
        <v>16</v>
      </c>
      <c r="F10" s="367" t="s">
        <v>19</v>
      </c>
      <c r="G10" s="382">
        <f>Subtitling!K13</f>
        <v>0</v>
      </c>
      <c r="H10" s="382">
        <f>Subtitling!L13</f>
        <v>12</v>
      </c>
      <c r="I10" s="382"/>
      <c r="J10" s="382">
        <f>Subtitling!$W$13</f>
        <v>1</v>
      </c>
      <c r="K10" s="382">
        <f>Subtitling!$X$13</f>
        <v>0.5</v>
      </c>
      <c r="L10" s="382" t="str">
        <f>Subtitling!$Z$13</f>
        <v>Workflow</v>
      </c>
      <c r="M10" s="407">
        <f>Subtitling!$AA$13</f>
        <v>0</v>
      </c>
      <c r="N10" s="391">
        <f>Subtitling!$AB$13</f>
        <v>0</v>
      </c>
    </row>
    <row r="11" spans="1:24" s="367" customFormat="1" x14ac:dyDescent="0.35">
      <c r="A11" s="368" t="str">
        <f>'Summary (READ FIRST)'!$B$8</f>
        <v>Supplier 1</v>
      </c>
      <c r="B11" s="367" t="str">
        <f>'Summary (READ FIRST)'!$B$11</f>
        <v>English</v>
      </c>
      <c r="C11" s="367" t="s">
        <v>14</v>
      </c>
      <c r="D11" s="367" t="s">
        <v>24</v>
      </c>
      <c r="E11" s="367" t="s">
        <v>20</v>
      </c>
      <c r="F11" s="367" t="s">
        <v>21</v>
      </c>
      <c r="G11" s="382">
        <f>Subtitling!N13</f>
        <v>0</v>
      </c>
      <c r="H11" s="382">
        <f>Subtitling!O13</f>
        <v>17</v>
      </c>
      <c r="I11" s="382"/>
      <c r="J11" s="382">
        <f>Subtitling!$W$13</f>
        <v>1</v>
      </c>
      <c r="K11" s="382">
        <f>Subtitling!$X$13</f>
        <v>0.5</v>
      </c>
      <c r="L11" s="382" t="str">
        <f>Subtitling!$Z$13</f>
        <v>Workflow</v>
      </c>
      <c r="M11" s="407">
        <f>Subtitling!$AA$13</f>
        <v>0</v>
      </c>
      <c r="N11" s="391">
        <f>Subtitling!$AB$13</f>
        <v>0</v>
      </c>
    </row>
    <row r="12" spans="1:24" s="367" customFormat="1" x14ac:dyDescent="0.35">
      <c r="A12" s="368" t="str">
        <f>'Summary (READ FIRST)'!$B$8</f>
        <v>Supplier 1</v>
      </c>
      <c r="B12" s="367" t="str">
        <f>'Summary (READ FIRST)'!$B$11</f>
        <v>English</v>
      </c>
      <c r="C12" s="367" t="s">
        <v>14</v>
      </c>
      <c r="D12" s="367" t="s">
        <v>24</v>
      </c>
      <c r="E12" s="367" t="s">
        <v>20</v>
      </c>
      <c r="F12" s="367" t="s">
        <v>22</v>
      </c>
      <c r="G12" s="382">
        <f>Subtitling!Q13</f>
        <v>27</v>
      </c>
      <c r="H12" s="382">
        <f>Subtitling!R13</f>
        <v>20</v>
      </c>
      <c r="I12" s="382"/>
      <c r="J12" s="382">
        <f>Subtitling!$W$13</f>
        <v>1</v>
      </c>
      <c r="K12" s="382">
        <f>Subtitling!$X$13</f>
        <v>0.5</v>
      </c>
      <c r="L12" s="382" t="str">
        <f>Subtitling!$Z$13</f>
        <v>Workflow</v>
      </c>
      <c r="M12" s="407">
        <f>Subtitling!$AA$13</f>
        <v>0</v>
      </c>
      <c r="N12" s="391">
        <f>Subtitling!$AB$13</f>
        <v>0</v>
      </c>
    </row>
    <row r="13" spans="1:24" s="367" customFormat="1" x14ac:dyDescent="0.35">
      <c r="A13" s="369" t="str">
        <f>'Summary (READ FIRST)'!$B$8</f>
        <v>Supplier 1</v>
      </c>
      <c r="B13" s="370" t="str">
        <f>'Summary (READ FIRST)'!$B$11</f>
        <v>English</v>
      </c>
      <c r="C13" s="370" t="s">
        <v>14</v>
      </c>
      <c r="D13" s="370" t="s">
        <v>24</v>
      </c>
      <c r="E13" s="370" t="s">
        <v>20</v>
      </c>
      <c r="F13" s="370" t="s">
        <v>23</v>
      </c>
      <c r="G13" s="382">
        <f>Subtitling!T13</f>
        <v>0</v>
      </c>
      <c r="H13" s="382">
        <f>Subtitling!U13</f>
        <v>12</v>
      </c>
      <c r="I13" s="382"/>
      <c r="J13" s="382">
        <f>Subtitling!$W$13</f>
        <v>1</v>
      </c>
      <c r="K13" s="382">
        <f>Subtitling!$X$13</f>
        <v>0.5</v>
      </c>
      <c r="L13" s="382" t="str">
        <f>Subtitling!$Z$13</f>
        <v>Workflow</v>
      </c>
      <c r="M13" s="407">
        <f>Subtitling!$AA$13</f>
        <v>0</v>
      </c>
      <c r="N13" s="391">
        <f>Subtitling!$AB$13</f>
        <v>0</v>
      </c>
    </row>
    <row r="14" spans="1:24" s="367" customFormat="1" x14ac:dyDescent="0.35">
      <c r="A14" s="371" t="str">
        <f>'Summary (READ FIRST)'!$B$8</f>
        <v>Supplier 1</v>
      </c>
      <c r="B14" s="366" t="str">
        <f>'Summary (READ FIRST)'!$B$11</f>
        <v>English</v>
      </c>
      <c r="C14" s="366" t="s">
        <v>14</v>
      </c>
      <c r="D14" s="366" t="s">
        <v>25</v>
      </c>
      <c r="E14" s="366" t="s">
        <v>16</v>
      </c>
      <c r="F14" s="366" t="s">
        <v>17</v>
      </c>
      <c r="G14" s="382">
        <f>Subtitling!E14</f>
        <v>0</v>
      </c>
      <c r="H14" s="382">
        <f>Subtitling!F14</f>
        <v>21</v>
      </c>
      <c r="I14" s="382"/>
      <c r="J14" s="382">
        <f>Subtitling!$W$14</f>
        <v>0</v>
      </c>
      <c r="K14" s="382">
        <f>Subtitling!$X$14</f>
        <v>0</v>
      </c>
      <c r="L14" s="382">
        <f>Subtitling!$Z$14</f>
        <v>0</v>
      </c>
      <c r="M14" s="407">
        <f>Subtitling!$AA$14</f>
        <v>0.2</v>
      </c>
      <c r="N14" s="391">
        <f>Subtitling!$AB$14</f>
        <v>0</v>
      </c>
    </row>
    <row r="15" spans="1:24" s="367" customFormat="1" x14ac:dyDescent="0.35">
      <c r="A15" s="368" t="str">
        <f>'Summary (READ FIRST)'!$B$8</f>
        <v>Supplier 1</v>
      </c>
      <c r="B15" s="367" t="str">
        <f>'Summary (READ FIRST)'!$B$11</f>
        <v>English</v>
      </c>
      <c r="C15" s="367" t="s">
        <v>14</v>
      </c>
      <c r="D15" s="367" t="s">
        <v>25</v>
      </c>
      <c r="E15" s="367" t="s">
        <v>16</v>
      </c>
      <c r="F15" s="367" t="s">
        <v>18</v>
      </c>
      <c r="G15" s="382">
        <f>Subtitling!H14</f>
        <v>27</v>
      </c>
      <c r="H15" s="382">
        <f>Subtitling!I14</f>
        <v>18</v>
      </c>
      <c r="I15" s="382"/>
      <c r="J15" s="382">
        <f>Subtitling!$W$14</f>
        <v>0</v>
      </c>
      <c r="K15" s="382">
        <f>Subtitling!$X$14</f>
        <v>0</v>
      </c>
      <c r="L15" s="382">
        <f>Subtitling!$Z$14</f>
        <v>0</v>
      </c>
      <c r="M15" s="407">
        <f>Subtitling!$AA$14</f>
        <v>0.2</v>
      </c>
      <c r="N15" s="391">
        <f>Subtitling!$AB$14</f>
        <v>0</v>
      </c>
    </row>
    <row r="16" spans="1:24" s="367" customFormat="1" x14ac:dyDescent="0.35">
      <c r="A16" s="368" t="str">
        <f>'Summary (READ FIRST)'!$B$8</f>
        <v>Supplier 1</v>
      </c>
      <c r="B16" s="367" t="str">
        <f>'Summary (READ FIRST)'!$B$11</f>
        <v>English</v>
      </c>
      <c r="C16" s="367" t="s">
        <v>14</v>
      </c>
      <c r="D16" s="367" t="s">
        <v>25</v>
      </c>
      <c r="E16" s="367" t="s">
        <v>16</v>
      </c>
      <c r="F16" s="367" t="s">
        <v>19</v>
      </c>
      <c r="G16" s="382">
        <f>Subtitling!K14</f>
        <v>38</v>
      </c>
      <c r="H16" s="382">
        <f>Subtitling!L14</f>
        <v>24</v>
      </c>
      <c r="I16" s="382"/>
      <c r="J16" s="382">
        <f>Subtitling!$W$14</f>
        <v>0</v>
      </c>
      <c r="K16" s="382">
        <f>Subtitling!$X$14</f>
        <v>0</v>
      </c>
      <c r="L16" s="382">
        <f>Subtitling!$Z$14</f>
        <v>0</v>
      </c>
      <c r="M16" s="407">
        <f>Subtitling!$AA$14</f>
        <v>0.2</v>
      </c>
      <c r="N16" s="391">
        <f>Subtitling!$AB$14</f>
        <v>0</v>
      </c>
    </row>
    <row r="17" spans="1:14" s="367" customFormat="1" x14ac:dyDescent="0.35">
      <c r="A17" s="368" t="str">
        <f>'Summary (READ FIRST)'!$B$8</f>
        <v>Supplier 1</v>
      </c>
      <c r="B17" s="367" t="str">
        <f>'Summary (READ FIRST)'!$B$11</f>
        <v>English</v>
      </c>
      <c r="C17" s="367" t="s">
        <v>14</v>
      </c>
      <c r="D17" s="367" t="s">
        <v>25</v>
      </c>
      <c r="E17" s="367" t="s">
        <v>20</v>
      </c>
      <c r="F17" s="367" t="s">
        <v>21</v>
      </c>
      <c r="G17" s="382">
        <f>Subtitling!N14</f>
        <v>38</v>
      </c>
      <c r="H17" s="382">
        <f>Subtitling!O14</f>
        <v>21</v>
      </c>
      <c r="I17" s="382"/>
      <c r="J17" s="382">
        <f>Subtitling!$W$14</f>
        <v>0</v>
      </c>
      <c r="K17" s="382">
        <f>Subtitling!$X$14</f>
        <v>0</v>
      </c>
      <c r="L17" s="382">
        <f>Subtitling!$Z$14</f>
        <v>0</v>
      </c>
      <c r="M17" s="407">
        <f>Subtitling!$AA$14</f>
        <v>0.2</v>
      </c>
      <c r="N17" s="391">
        <f>Subtitling!$AB$14</f>
        <v>0</v>
      </c>
    </row>
    <row r="18" spans="1:14" s="367" customFormat="1" x14ac:dyDescent="0.35">
      <c r="A18" s="368" t="str">
        <f>'Summary (READ FIRST)'!$B$8</f>
        <v>Supplier 1</v>
      </c>
      <c r="B18" s="367" t="str">
        <f>'Summary (READ FIRST)'!$B$11</f>
        <v>English</v>
      </c>
      <c r="C18" s="367" t="s">
        <v>14</v>
      </c>
      <c r="D18" s="367" t="s">
        <v>25</v>
      </c>
      <c r="E18" s="367" t="s">
        <v>20</v>
      </c>
      <c r="F18" s="367" t="s">
        <v>22</v>
      </c>
      <c r="G18" s="382">
        <f>Subtitling!Q14</f>
        <v>0</v>
      </c>
      <c r="H18" s="382">
        <f>Subtitling!R14</f>
        <v>19</v>
      </c>
      <c r="I18" s="382"/>
      <c r="J18" s="382">
        <f>Subtitling!$W$14</f>
        <v>0</v>
      </c>
      <c r="K18" s="382">
        <f>Subtitling!$X$14</f>
        <v>0</v>
      </c>
      <c r="L18" s="382">
        <f>Subtitling!$Z$14</f>
        <v>0</v>
      </c>
      <c r="M18" s="407">
        <f>Subtitling!$AA$14</f>
        <v>0.2</v>
      </c>
      <c r="N18" s="391">
        <f>Subtitling!$AB$14</f>
        <v>0</v>
      </c>
    </row>
    <row r="19" spans="1:14" s="367" customFormat="1" x14ac:dyDescent="0.35">
      <c r="A19" s="369" t="str">
        <f>'Summary (READ FIRST)'!$B$8</f>
        <v>Supplier 1</v>
      </c>
      <c r="B19" s="370" t="str">
        <f>'Summary (READ FIRST)'!$B$11</f>
        <v>English</v>
      </c>
      <c r="C19" s="370" t="s">
        <v>14</v>
      </c>
      <c r="D19" s="367" t="s">
        <v>25</v>
      </c>
      <c r="E19" s="370" t="s">
        <v>20</v>
      </c>
      <c r="F19" s="370" t="s">
        <v>23</v>
      </c>
      <c r="G19" s="382">
        <f>Subtitling!T14</f>
        <v>21</v>
      </c>
      <c r="H19" s="382">
        <f>Subtitling!U14</f>
        <v>0</v>
      </c>
      <c r="I19" s="382"/>
      <c r="J19" s="382">
        <f>Subtitling!$W$14</f>
        <v>0</v>
      </c>
      <c r="K19" s="382">
        <f>Subtitling!$X$14</f>
        <v>0</v>
      </c>
      <c r="L19" s="382">
        <f>Subtitling!$Z$14</f>
        <v>0</v>
      </c>
      <c r="M19" s="407">
        <f>Subtitling!$AA$14</f>
        <v>0.2</v>
      </c>
      <c r="N19" s="391">
        <f>Subtitling!$AB$14</f>
        <v>0</v>
      </c>
    </row>
    <row r="20" spans="1:14" s="367" customFormat="1" x14ac:dyDescent="0.35">
      <c r="A20" s="371" t="str">
        <f>'Summary (READ FIRST)'!$B$8</f>
        <v>Supplier 1</v>
      </c>
      <c r="B20" s="366" t="str">
        <f>'Summary (READ FIRST)'!$B$11</f>
        <v>English</v>
      </c>
      <c r="C20" s="366" t="s">
        <v>14</v>
      </c>
      <c r="D20" s="366" t="s">
        <v>26</v>
      </c>
      <c r="E20" s="366" t="s">
        <v>16</v>
      </c>
      <c r="F20" s="366" t="s">
        <v>17</v>
      </c>
      <c r="G20" s="382">
        <f>Subtitling!E15</f>
        <v>27</v>
      </c>
      <c r="H20" s="382">
        <f>Subtitling!F15</f>
        <v>22</v>
      </c>
      <c r="I20" s="382"/>
      <c r="J20" s="382">
        <f>Subtitling!$W$15</f>
        <v>1</v>
      </c>
      <c r="K20" s="382">
        <f>Subtitling!$X$15</f>
        <v>0.5</v>
      </c>
      <c r="L20" s="382" t="str">
        <f>Subtitling!$Z$15</f>
        <v>Tools</v>
      </c>
      <c r="M20" s="407">
        <f>Subtitling!$AA$15</f>
        <v>0.05</v>
      </c>
      <c r="N20" s="391" t="str">
        <f>Subtitling!$AB$15</f>
        <v>Note 1</v>
      </c>
    </row>
    <row r="21" spans="1:14" s="367" customFormat="1" x14ac:dyDescent="0.35">
      <c r="A21" s="368" t="str">
        <f>'Summary (READ FIRST)'!$B$8</f>
        <v>Supplier 1</v>
      </c>
      <c r="B21" s="367" t="str">
        <f>'Summary (READ FIRST)'!$B$11</f>
        <v>English</v>
      </c>
      <c r="C21" s="367" t="s">
        <v>14</v>
      </c>
      <c r="D21" s="367" t="s">
        <v>26</v>
      </c>
      <c r="E21" s="367" t="s">
        <v>16</v>
      </c>
      <c r="F21" s="367" t="s">
        <v>18</v>
      </c>
      <c r="G21" s="382">
        <f>Subtitling!H15</f>
        <v>27</v>
      </c>
      <c r="H21" s="382">
        <f>Subtitling!I15</f>
        <v>23</v>
      </c>
      <c r="I21" s="382"/>
      <c r="J21" s="382">
        <f>Subtitling!$W$15</f>
        <v>1</v>
      </c>
      <c r="K21" s="382">
        <f>Subtitling!$X$15</f>
        <v>0.5</v>
      </c>
      <c r="L21" s="382" t="str">
        <f>Subtitling!$Z$15</f>
        <v>Tools</v>
      </c>
      <c r="M21" s="407">
        <f>Subtitling!$AA$15</f>
        <v>0.05</v>
      </c>
      <c r="N21" s="391" t="str">
        <f>Subtitling!$AB$15</f>
        <v>Note 1</v>
      </c>
    </row>
    <row r="22" spans="1:14" s="367" customFormat="1" x14ac:dyDescent="0.35">
      <c r="A22" s="368" t="str">
        <f>'Summary (READ FIRST)'!$B$8</f>
        <v>Supplier 1</v>
      </c>
      <c r="B22" s="367" t="str">
        <f>'Summary (READ FIRST)'!$B$11</f>
        <v>English</v>
      </c>
      <c r="C22" s="367" t="s">
        <v>14</v>
      </c>
      <c r="D22" s="367" t="s">
        <v>26</v>
      </c>
      <c r="E22" s="367" t="s">
        <v>16</v>
      </c>
      <c r="F22" s="367" t="s">
        <v>19</v>
      </c>
      <c r="G22" s="382">
        <f>Subtitling!K15</f>
        <v>36</v>
      </c>
      <c r="H22" s="382">
        <f>Subtitling!L15</f>
        <v>20</v>
      </c>
      <c r="I22" s="382"/>
      <c r="J22" s="382">
        <f>Subtitling!$W$15</f>
        <v>1</v>
      </c>
      <c r="K22" s="382">
        <f>Subtitling!$X$15</f>
        <v>0.5</v>
      </c>
      <c r="L22" s="382" t="str">
        <f>Subtitling!$Z$15</f>
        <v>Tools</v>
      </c>
      <c r="M22" s="407">
        <f>Subtitling!$AA$15</f>
        <v>0.05</v>
      </c>
      <c r="N22" s="391" t="str">
        <f>Subtitling!$AB$15</f>
        <v>Note 1</v>
      </c>
    </row>
    <row r="23" spans="1:14" s="367" customFormat="1" x14ac:dyDescent="0.35">
      <c r="A23" s="368" t="str">
        <f>'Summary (READ FIRST)'!$B$8</f>
        <v>Supplier 1</v>
      </c>
      <c r="B23" s="367" t="str">
        <f>'Summary (READ FIRST)'!$B$11</f>
        <v>English</v>
      </c>
      <c r="C23" s="367" t="s">
        <v>14</v>
      </c>
      <c r="D23" s="367" t="s">
        <v>26</v>
      </c>
      <c r="E23" s="367" t="s">
        <v>20</v>
      </c>
      <c r="F23" s="367" t="s">
        <v>21</v>
      </c>
      <c r="G23" s="382">
        <f>Subtitling!N15</f>
        <v>0</v>
      </c>
      <c r="H23" s="382">
        <f>Subtitling!O15</f>
        <v>15</v>
      </c>
      <c r="I23" s="382"/>
      <c r="J23" s="382">
        <f>Subtitling!$W$15</f>
        <v>1</v>
      </c>
      <c r="K23" s="382">
        <f>Subtitling!$X$15</f>
        <v>0.5</v>
      </c>
      <c r="L23" s="382" t="str">
        <f>Subtitling!$Z$15</f>
        <v>Tools</v>
      </c>
      <c r="M23" s="407">
        <f>Subtitling!$AA$15</f>
        <v>0.05</v>
      </c>
      <c r="N23" s="391" t="str">
        <f>Subtitling!$AB$15</f>
        <v>Note 1</v>
      </c>
    </row>
    <row r="24" spans="1:14" s="367" customFormat="1" x14ac:dyDescent="0.35">
      <c r="A24" s="368" t="str">
        <f>'Summary (READ FIRST)'!$B$8</f>
        <v>Supplier 1</v>
      </c>
      <c r="B24" s="367" t="str">
        <f>'Summary (READ FIRST)'!$B$11</f>
        <v>English</v>
      </c>
      <c r="C24" s="367" t="s">
        <v>14</v>
      </c>
      <c r="D24" s="367" t="s">
        <v>26</v>
      </c>
      <c r="E24" s="367" t="s">
        <v>20</v>
      </c>
      <c r="F24" s="367" t="s">
        <v>22</v>
      </c>
      <c r="G24" s="382">
        <f>Subtitling!Q15</f>
        <v>26</v>
      </c>
      <c r="H24" s="382">
        <f>Subtitling!R15</f>
        <v>15</v>
      </c>
      <c r="I24" s="382"/>
      <c r="J24" s="382">
        <f>Subtitling!$W$15</f>
        <v>1</v>
      </c>
      <c r="K24" s="382">
        <f>Subtitling!$X$15</f>
        <v>0.5</v>
      </c>
      <c r="L24" s="382" t="str">
        <f>Subtitling!$Z$15</f>
        <v>Tools</v>
      </c>
      <c r="M24" s="407">
        <f>Subtitling!$AA$15</f>
        <v>0.05</v>
      </c>
      <c r="N24" s="391" t="str">
        <f>Subtitling!$AB$15</f>
        <v>Note 1</v>
      </c>
    </row>
    <row r="25" spans="1:14" s="367" customFormat="1" x14ac:dyDescent="0.35">
      <c r="A25" s="369" t="str">
        <f>'Summary (READ FIRST)'!$B$8</f>
        <v>Supplier 1</v>
      </c>
      <c r="B25" s="370" t="str">
        <f>'Summary (READ FIRST)'!$B$11</f>
        <v>English</v>
      </c>
      <c r="C25" s="370" t="s">
        <v>14</v>
      </c>
      <c r="D25" s="370" t="s">
        <v>26</v>
      </c>
      <c r="E25" s="370" t="s">
        <v>20</v>
      </c>
      <c r="F25" s="370" t="s">
        <v>23</v>
      </c>
      <c r="G25" s="382">
        <f>Subtitling!T15</f>
        <v>38</v>
      </c>
      <c r="H25" s="382">
        <f>Subtitling!U15</f>
        <v>12</v>
      </c>
      <c r="I25" s="382"/>
      <c r="J25" s="382">
        <f>Subtitling!$W$15</f>
        <v>1</v>
      </c>
      <c r="K25" s="382">
        <f>Subtitling!$X$15</f>
        <v>0.5</v>
      </c>
      <c r="L25" s="382" t="str">
        <f>Subtitling!$Z$15</f>
        <v>Tools</v>
      </c>
      <c r="M25" s="407">
        <f>Subtitling!$AA$15</f>
        <v>0.05</v>
      </c>
      <c r="N25" s="391" t="str">
        <f>Subtitling!$AB$15</f>
        <v>Note 1</v>
      </c>
    </row>
    <row r="26" spans="1:14" s="367" customFormat="1" x14ac:dyDescent="0.35">
      <c r="A26" s="371" t="str">
        <f>'Summary (READ FIRST)'!$B$8</f>
        <v>Supplier 1</v>
      </c>
      <c r="B26" s="366" t="str">
        <f>'Summary (READ FIRST)'!$B$11</f>
        <v>English</v>
      </c>
      <c r="C26" s="366" t="s">
        <v>14</v>
      </c>
      <c r="D26" s="366" t="s">
        <v>27</v>
      </c>
      <c r="E26" s="366" t="s">
        <v>16</v>
      </c>
      <c r="F26" s="366" t="s">
        <v>17</v>
      </c>
      <c r="G26" s="382">
        <f>Subtitling!E16</f>
        <v>23</v>
      </c>
      <c r="H26" s="382">
        <f>Subtitling!F16</f>
        <v>0</v>
      </c>
      <c r="I26" s="382"/>
      <c r="J26" s="382">
        <f>Subtitling!$W$16</f>
        <v>1</v>
      </c>
      <c r="K26" s="382">
        <f>Subtitling!$X$16</f>
        <v>0.5</v>
      </c>
      <c r="L26" s="382" t="str">
        <f>Subtitling!$Z$16</f>
        <v>Automated system</v>
      </c>
      <c r="M26" s="407">
        <f>Subtitling!$AA$16</f>
        <v>0.1</v>
      </c>
      <c r="N26" s="391">
        <f>Subtitling!$AB$16</f>
        <v>0</v>
      </c>
    </row>
    <row r="27" spans="1:14" s="367" customFormat="1" x14ac:dyDescent="0.35">
      <c r="A27" s="368" t="str">
        <f>'Summary (READ FIRST)'!$B$8</f>
        <v>Supplier 1</v>
      </c>
      <c r="B27" s="367" t="str">
        <f>'Summary (READ FIRST)'!$B$11</f>
        <v>English</v>
      </c>
      <c r="C27" s="367" t="s">
        <v>14</v>
      </c>
      <c r="D27" s="367" t="s">
        <v>27</v>
      </c>
      <c r="E27" s="367" t="s">
        <v>16</v>
      </c>
      <c r="F27" s="367" t="s">
        <v>18</v>
      </c>
      <c r="G27" s="382">
        <f>Subtitling!H16</f>
        <v>0</v>
      </c>
      <c r="H27" s="382">
        <f>Subtitling!I16</f>
        <v>25</v>
      </c>
      <c r="I27" s="382"/>
      <c r="J27" s="382">
        <f>Subtitling!$W$16</f>
        <v>1</v>
      </c>
      <c r="K27" s="382">
        <f>Subtitling!$X$16</f>
        <v>0.5</v>
      </c>
      <c r="L27" s="382" t="str">
        <f>Subtitling!$Z$16</f>
        <v>Automated system</v>
      </c>
      <c r="M27" s="407">
        <f>Subtitling!$AA$16</f>
        <v>0.1</v>
      </c>
      <c r="N27" s="391">
        <f>Subtitling!$AB$16</f>
        <v>0</v>
      </c>
    </row>
    <row r="28" spans="1:14" s="367" customFormat="1" x14ac:dyDescent="0.35">
      <c r="A28" s="368" t="str">
        <f>'Summary (READ FIRST)'!$B$8</f>
        <v>Supplier 1</v>
      </c>
      <c r="B28" s="367" t="str">
        <f>'Summary (READ FIRST)'!$B$11</f>
        <v>English</v>
      </c>
      <c r="C28" s="367" t="s">
        <v>14</v>
      </c>
      <c r="D28" s="367" t="s">
        <v>27</v>
      </c>
      <c r="E28" s="367" t="s">
        <v>16</v>
      </c>
      <c r="F28" s="367" t="s">
        <v>19</v>
      </c>
      <c r="G28" s="382">
        <f>Subtitling!K16</f>
        <v>20</v>
      </c>
      <c r="H28" s="382">
        <f>Subtitling!L16</f>
        <v>0</v>
      </c>
      <c r="I28" s="382"/>
      <c r="J28" s="382">
        <f>Subtitling!$W$16</f>
        <v>1</v>
      </c>
      <c r="K28" s="382">
        <f>Subtitling!$X$16</f>
        <v>0.5</v>
      </c>
      <c r="L28" s="382" t="str">
        <f>Subtitling!$Z$16</f>
        <v>Automated system</v>
      </c>
      <c r="M28" s="407">
        <f>Subtitling!$AA$16</f>
        <v>0.1</v>
      </c>
      <c r="N28" s="391">
        <f>Subtitling!$AB$16</f>
        <v>0</v>
      </c>
    </row>
    <row r="29" spans="1:14" s="367" customFormat="1" x14ac:dyDescent="0.35">
      <c r="A29" s="368" t="str">
        <f>'Summary (READ FIRST)'!$B$8</f>
        <v>Supplier 1</v>
      </c>
      <c r="B29" s="367" t="str">
        <f>'Summary (READ FIRST)'!$B$11</f>
        <v>English</v>
      </c>
      <c r="C29" s="367" t="s">
        <v>14</v>
      </c>
      <c r="D29" s="367" t="s">
        <v>27</v>
      </c>
      <c r="E29" s="367" t="s">
        <v>20</v>
      </c>
      <c r="F29" s="367" t="s">
        <v>21</v>
      </c>
      <c r="G29" s="382">
        <f>Subtitling!N16</f>
        <v>16</v>
      </c>
      <c r="H29" s="382">
        <f>Subtitling!O16</f>
        <v>9</v>
      </c>
      <c r="I29" s="382"/>
      <c r="J29" s="382">
        <f>Subtitling!$W$16</f>
        <v>1</v>
      </c>
      <c r="K29" s="382">
        <f>Subtitling!$X$16</f>
        <v>0.5</v>
      </c>
      <c r="L29" s="382" t="str">
        <f>Subtitling!$Z$16</f>
        <v>Automated system</v>
      </c>
      <c r="M29" s="407">
        <f>Subtitling!$AA$16</f>
        <v>0.1</v>
      </c>
      <c r="N29" s="391">
        <f>Subtitling!$AB$16</f>
        <v>0</v>
      </c>
    </row>
    <row r="30" spans="1:14" s="367" customFormat="1" x14ac:dyDescent="0.35">
      <c r="A30" s="368" t="str">
        <f>'Summary (READ FIRST)'!$B$8</f>
        <v>Supplier 1</v>
      </c>
      <c r="B30" s="367" t="str">
        <f>'Summary (READ FIRST)'!$B$11</f>
        <v>English</v>
      </c>
      <c r="C30" s="367" t="s">
        <v>14</v>
      </c>
      <c r="D30" s="367" t="s">
        <v>27</v>
      </c>
      <c r="E30" s="367" t="s">
        <v>20</v>
      </c>
      <c r="F30" s="367" t="s">
        <v>22</v>
      </c>
      <c r="G30" s="382">
        <f>Subtitling!Q16</f>
        <v>12</v>
      </c>
      <c r="H30" s="382">
        <f>Subtitling!R16</f>
        <v>8</v>
      </c>
      <c r="I30" s="382"/>
      <c r="J30" s="382">
        <f>Subtitling!$W$16</f>
        <v>1</v>
      </c>
      <c r="K30" s="382">
        <f>Subtitling!$X$16</f>
        <v>0.5</v>
      </c>
      <c r="L30" s="382" t="str">
        <f>Subtitling!$Z$16</f>
        <v>Automated system</v>
      </c>
      <c r="M30" s="407">
        <f>Subtitling!$AA$16</f>
        <v>0.1</v>
      </c>
      <c r="N30" s="391">
        <f>Subtitling!$AB$16</f>
        <v>0</v>
      </c>
    </row>
    <row r="31" spans="1:14" s="367" customFormat="1" x14ac:dyDescent="0.35">
      <c r="A31" s="369" t="str">
        <f>'Summary (READ FIRST)'!$B$8</f>
        <v>Supplier 1</v>
      </c>
      <c r="B31" s="370" t="str">
        <f>'Summary (READ FIRST)'!$B$11</f>
        <v>English</v>
      </c>
      <c r="C31" s="370" t="s">
        <v>14</v>
      </c>
      <c r="D31" s="367" t="s">
        <v>27</v>
      </c>
      <c r="E31" s="370" t="s">
        <v>20</v>
      </c>
      <c r="F31" s="370" t="s">
        <v>23</v>
      </c>
      <c r="G31" s="382">
        <f>Subtitling!T16</f>
        <v>33</v>
      </c>
      <c r="H31" s="382">
        <f>Subtitling!U16</f>
        <v>21</v>
      </c>
      <c r="I31" s="382"/>
      <c r="J31" s="382">
        <f>Subtitling!$W$16</f>
        <v>1</v>
      </c>
      <c r="K31" s="382">
        <f>Subtitling!$X$16</f>
        <v>0.5</v>
      </c>
      <c r="L31" s="382" t="str">
        <f>Subtitling!$Z$16</f>
        <v>Automated system</v>
      </c>
      <c r="M31" s="407">
        <f>Subtitling!$AA$16</f>
        <v>0.1</v>
      </c>
      <c r="N31" s="391">
        <f>Subtitling!$AB$16</f>
        <v>0</v>
      </c>
    </row>
    <row r="32" spans="1:14" s="367" customFormat="1" x14ac:dyDescent="0.35">
      <c r="A32" s="371" t="str">
        <f>'Summary (READ FIRST)'!$B$8</f>
        <v>Supplier 1</v>
      </c>
      <c r="B32" s="366" t="str">
        <f>'Summary (READ FIRST)'!$B$11</f>
        <v>English</v>
      </c>
      <c r="C32" s="366" t="s">
        <v>14</v>
      </c>
      <c r="D32" s="366" t="s">
        <v>28</v>
      </c>
      <c r="E32" s="366" t="s">
        <v>16</v>
      </c>
      <c r="F32" s="366" t="s">
        <v>17</v>
      </c>
      <c r="G32" s="382">
        <f>Subtitling!E17</f>
        <v>40</v>
      </c>
      <c r="H32" s="382">
        <f>Subtitling!F17</f>
        <v>20</v>
      </c>
      <c r="I32" s="382"/>
      <c r="J32" s="382">
        <f>Subtitling!$W$17</f>
        <v>1</v>
      </c>
      <c r="K32" s="382">
        <f>Subtitling!$X$17</f>
        <v>0.5</v>
      </c>
      <c r="L32" s="382" t="str">
        <f>Subtitling!$Z$17</f>
        <v>Workflow</v>
      </c>
      <c r="M32" s="407">
        <f>Subtitling!$AA$17</f>
        <v>0.1</v>
      </c>
      <c r="N32" s="391" t="str">
        <f>Subtitling!$AB$17</f>
        <v>Note 1</v>
      </c>
    </row>
    <row r="33" spans="1:14" s="367" customFormat="1" x14ac:dyDescent="0.35">
      <c r="A33" s="368" t="str">
        <f>'Summary (READ FIRST)'!$B$8</f>
        <v>Supplier 1</v>
      </c>
      <c r="B33" s="367" t="str">
        <f>'Summary (READ FIRST)'!$B$11</f>
        <v>English</v>
      </c>
      <c r="C33" s="367" t="s">
        <v>14</v>
      </c>
      <c r="D33" s="367" t="s">
        <v>28</v>
      </c>
      <c r="E33" s="367" t="s">
        <v>16</v>
      </c>
      <c r="F33" s="367" t="s">
        <v>18</v>
      </c>
      <c r="G33" s="382">
        <f>Subtitling!H17</f>
        <v>20</v>
      </c>
      <c r="H33" s="382">
        <f>Subtitling!I17</f>
        <v>17</v>
      </c>
      <c r="I33" s="382"/>
      <c r="J33" s="382">
        <f>Subtitling!$W$17</f>
        <v>1</v>
      </c>
      <c r="K33" s="382">
        <f>Subtitling!$X$17</f>
        <v>0.5</v>
      </c>
      <c r="L33" s="382" t="str">
        <f>Subtitling!$Z$17</f>
        <v>Workflow</v>
      </c>
      <c r="M33" s="407">
        <f>Subtitling!$AA$17</f>
        <v>0.1</v>
      </c>
      <c r="N33" s="391" t="str">
        <f>Subtitling!$AB$17</f>
        <v>Note 1</v>
      </c>
    </row>
    <row r="34" spans="1:14" s="367" customFormat="1" x14ac:dyDescent="0.35">
      <c r="A34" s="368" t="str">
        <f>'Summary (READ FIRST)'!$B$8</f>
        <v>Supplier 1</v>
      </c>
      <c r="B34" s="367" t="str">
        <f>'Summary (READ FIRST)'!$B$11</f>
        <v>English</v>
      </c>
      <c r="C34" s="367" t="s">
        <v>14</v>
      </c>
      <c r="D34" s="367" t="s">
        <v>28</v>
      </c>
      <c r="E34" s="367" t="s">
        <v>16</v>
      </c>
      <c r="F34" s="367" t="s">
        <v>19</v>
      </c>
      <c r="G34" s="382">
        <f>Subtitling!K17</f>
        <v>34</v>
      </c>
      <c r="H34" s="382">
        <f>Subtitling!L17</f>
        <v>18</v>
      </c>
      <c r="I34" s="382"/>
      <c r="J34" s="382">
        <f>Subtitling!$W$17</f>
        <v>1</v>
      </c>
      <c r="K34" s="382">
        <f>Subtitling!$X$17</f>
        <v>0.5</v>
      </c>
      <c r="L34" s="382" t="str">
        <f>Subtitling!$Z$17</f>
        <v>Workflow</v>
      </c>
      <c r="M34" s="407">
        <f>Subtitling!$AA$17</f>
        <v>0.1</v>
      </c>
      <c r="N34" s="391" t="str">
        <f>Subtitling!$AB$17</f>
        <v>Note 1</v>
      </c>
    </row>
    <row r="35" spans="1:14" s="367" customFormat="1" x14ac:dyDescent="0.35">
      <c r="A35" s="368" t="str">
        <f>'Summary (READ FIRST)'!$B$8</f>
        <v>Supplier 1</v>
      </c>
      <c r="B35" s="367" t="str">
        <f>'Summary (READ FIRST)'!$B$11</f>
        <v>English</v>
      </c>
      <c r="C35" s="367" t="s">
        <v>14</v>
      </c>
      <c r="D35" s="367" t="s">
        <v>28</v>
      </c>
      <c r="E35" s="367" t="s">
        <v>20</v>
      </c>
      <c r="F35" s="367" t="s">
        <v>21</v>
      </c>
      <c r="G35" s="382">
        <f>Subtitling!N17</f>
        <v>34</v>
      </c>
      <c r="H35" s="382">
        <f>Subtitling!O17</f>
        <v>0</v>
      </c>
      <c r="I35" s="382"/>
      <c r="J35" s="382">
        <f>Subtitling!$W$17</f>
        <v>1</v>
      </c>
      <c r="K35" s="382">
        <f>Subtitling!$X$17</f>
        <v>0.5</v>
      </c>
      <c r="L35" s="382" t="str">
        <f>Subtitling!$Z$17</f>
        <v>Workflow</v>
      </c>
      <c r="M35" s="407">
        <f>Subtitling!$AA$17</f>
        <v>0.1</v>
      </c>
      <c r="N35" s="391" t="str">
        <f>Subtitling!$AB$17</f>
        <v>Note 1</v>
      </c>
    </row>
    <row r="36" spans="1:14" s="367" customFormat="1" x14ac:dyDescent="0.35">
      <c r="A36" s="368" t="str">
        <f>'Summary (READ FIRST)'!$B$8</f>
        <v>Supplier 1</v>
      </c>
      <c r="B36" s="367" t="str">
        <f>'Summary (READ FIRST)'!$B$11</f>
        <v>English</v>
      </c>
      <c r="C36" s="367" t="s">
        <v>14</v>
      </c>
      <c r="D36" s="367" t="s">
        <v>28</v>
      </c>
      <c r="E36" s="367" t="s">
        <v>20</v>
      </c>
      <c r="F36" s="367" t="s">
        <v>22</v>
      </c>
      <c r="G36" s="382">
        <f>Subtitling!Q17</f>
        <v>0</v>
      </c>
      <c r="H36" s="382">
        <f>Subtitling!R17</f>
        <v>0</v>
      </c>
      <c r="I36" s="382"/>
      <c r="J36" s="382">
        <f>Subtitling!$W$17</f>
        <v>1</v>
      </c>
      <c r="K36" s="382">
        <f>Subtitling!$X$17</f>
        <v>0.5</v>
      </c>
      <c r="L36" s="382" t="str">
        <f>Subtitling!$Z$17</f>
        <v>Workflow</v>
      </c>
      <c r="M36" s="407">
        <f>Subtitling!$AA$17</f>
        <v>0.1</v>
      </c>
      <c r="N36" s="391" t="str">
        <f>Subtitling!$AB$17</f>
        <v>Note 1</v>
      </c>
    </row>
    <row r="37" spans="1:14" s="367" customFormat="1" x14ac:dyDescent="0.35">
      <c r="A37" s="369" t="str">
        <f>'Summary (READ FIRST)'!$B$8</f>
        <v>Supplier 1</v>
      </c>
      <c r="B37" s="370" t="str">
        <f>'Summary (READ FIRST)'!$B$11</f>
        <v>English</v>
      </c>
      <c r="C37" s="370" t="s">
        <v>14</v>
      </c>
      <c r="D37" s="367" t="s">
        <v>28</v>
      </c>
      <c r="E37" s="370" t="s">
        <v>20</v>
      </c>
      <c r="F37" s="370" t="s">
        <v>23</v>
      </c>
      <c r="G37" s="382">
        <f>Subtitling!T17</f>
        <v>0</v>
      </c>
      <c r="H37" s="382">
        <f>Subtitling!U17</f>
        <v>0</v>
      </c>
      <c r="I37" s="382"/>
      <c r="J37" s="382">
        <f>Subtitling!$W$17</f>
        <v>1</v>
      </c>
      <c r="K37" s="382">
        <f>Subtitling!$X$17</f>
        <v>0.5</v>
      </c>
      <c r="L37" s="382" t="str">
        <f>Subtitling!$Z$17</f>
        <v>Workflow</v>
      </c>
      <c r="M37" s="407">
        <f>Subtitling!$AA$17</f>
        <v>0.1</v>
      </c>
      <c r="N37" s="391" t="str">
        <f>Subtitling!$AB$17</f>
        <v>Note 1</v>
      </c>
    </row>
    <row r="38" spans="1:14" s="367" customFormat="1" x14ac:dyDescent="0.35">
      <c r="A38" s="371" t="str">
        <f>'Summary (READ FIRST)'!$B$8</f>
        <v>Supplier 1</v>
      </c>
      <c r="B38" s="366" t="str">
        <f>'Summary (READ FIRST)'!$B$11</f>
        <v>English</v>
      </c>
      <c r="C38" s="366" t="s">
        <v>14</v>
      </c>
      <c r="D38" s="366" t="s">
        <v>29</v>
      </c>
      <c r="E38" s="366" t="s">
        <v>16</v>
      </c>
      <c r="F38" s="366" t="s">
        <v>17</v>
      </c>
      <c r="G38" s="382">
        <f>Subtitling!E18</f>
        <v>29</v>
      </c>
      <c r="H38" s="382">
        <f>Subtitling!F18</f>
        <v>25</v>
      </c>
      <c r="I38" s="382"/>
      <c r="J38" s="382">
        <f>Subtitling!$W$18</f>
        <v>0</v>
      </c>
      <c r="K38" s="382">
        <f>Subtitling!$X$18</f>
        <v>0</v>
      </c>
      <c r="L38" s="382">
        <f>Subtitling!$Z$18</f>
        <v>0</v>
      </c>
      <c r="M38" s="407">
        <f>Subtitling!$AA$18</f>
        <v>0</v>
      </c>
      <c r="N38" s="391" t="str">
        <f>Subtitling!$AB$18</f>
        <v>Note 1</v>
      </c>
    </row>
    <row r="39" spans="1:14" s="367" customFormat="1" x14ac:dyDescent="0.35">
      <c r="A39" s="368" t="str">
        <f>'Summary (READ FIRST)'!$B$8</f>
        <v>Supplier 1</v>
      </c>
      <c r="B39" s="367" t="str">
        <f>'Summary (READ FIRST)'!$B$11</f>
        <v>English</v>
      </c>
      <c r="C39" s="367" t="s">
        <v>14</v>
      </c>
      <c r="D39" s="367" t="s">
        <v>29</v>
      </c>
      <c r="E39" s="367" t="s">
        <v>16</v>
      </c>
      <c r="F39" s="367" t="s">
        <v>18</v>
      </c>
      <c r="G39" s="382">
        <f>Subtitling!H18</f>
        <v>37</v>
      </c>
      <c r="H39" s="382">
        <f>Subtitling!I18</f>
        <v>24</v>
      </c>
      <c r="I39" s="382"/>
      <c r="J39" s="382">
        <f>Subtitling!$W$18</f>
        <v>0</v>
      </c>
      <c r="K39" s="382">
        <f>Subtitling!$X$18</f>
        <v>0</v>
      </c>
      <c r="L39" s="382">
        <f>Subtitling!$Z$18</f>
        <v>0</v>
      </c>
      <c r="M39" s="407">
        <f>Subtitling!$AA$18</f>
        <v>0</v>
      </c>
      <c r="N39" s="391" t="str">
        <f>Subtitling!$AB$18</f>
        <v>Note 1</v>
      </c>
    </row>
    <row r="40" spans="1:14" s="367" customFormat="1" x14ac:dyDescent="0.35">
      <c r="A40" s="368" t="str">
        <f>'Summary (READ FIRST)'!$B$8</f>
        <v>Supplier 1</v>
      </c>
      <c r="B40" s="367" t="str">
        <f>'Summary (READ FIRST)'!$B$11</f>
        <v>English</v>
      </c>
      <c r="C40" s="367" t="s">
        <v>14</v>
      </c>
      <c r="D40" s="367" t="s">
        <v>29</v>
      </c>
      <c r="E40" s="367" t="s">
        <v>16</v>
      </c>
      <c r="F40" s="367" t="s">
        <v>19</v>
      </c>
      <c r="G40" s="382">
        <f>Subtitling!K18</f>
        <v>25</v>
      </c>
      <c r="H40" s="382">
        <f>Subtitling!L18</f>
        <v>0</v>
      </c>
      <c r="I40" s="382"/>
      <c r="J40" s="382">
        <f>Subtitling!$W$18</f>
        <v>0</v>
      </c>
      <c r="K40" s="382">
        <f>Subtitling!$X$18</f>
        <v>0</v>
      </c>
      <c r="L40" s="382">
        <f>Subtitling!$Z$18</f>
        <v>0</v>
      </c>
      <c r="M40" s="407">
        <f>Subtitling!$AA$18</f>
        <v>0</v>
      </c>
      <c r="N40" s="391" t="str">
        <f>Subtitling!$AB$18</f>
        <v>Note 1</v>
      </c>
    </row>
    <row r="41" spans="1:14" s="367" customFormat="1" x14ac:dyDescent="0.35">
      <c r="A41" s="368" t="str">
        <f>'Summary (READ FIRST)'!$B$8</f>
        <v>Supplier 1</v>
      </c>
      <c r="B41" s="367" t="str">
        <f>'Summary (READ FIRST)'!$B$11</f>
        <v>English</v>
      </c>
      <c r="C41" s="367" t="s">
        <v>14</v>
      </c>
      <c r="D41" s="367" t="s">
        <v>29</v>
      </c>
      <c r="E41" s="367" t="s">
        <v>20</v>
      </c>
      <c r="F41" s="367" t="s">
        <v>21</v>
      </c>
      <c r="G41" s="382">
        <f>Subtitling!N18</f>
        <v>16</v>
      </c>
      <c r="H41" s="382">
        <f>Subtitling!O18</f>
        <v>13</v>
      </c>
      <c r="I41" s="382"/>
      <c r="J41" s="382">
        <f>Subtitling!$W$18</f>
        <v>0</v>
      </c>
      <c r="K41" s="382">
        <f>Subtitling!$X$18</f>
        <v>0</v>
      </c>
      <c r="L41" s="382">
        <f>Subtitling!$Z$18</f>
        <v>0</v>
      </c>
      <c r="M41" s="407">
        <f>Subtitling!$AA$18</f>
        <v>0</v>
      </c>
      <c r="N41" s="391" t="str">
        <f>Subtitling!$AB$18</f>
        <v>Note 1</v>
      </c>
    </row>
    <row r="42" spans="1:14" s="367" customFormat="1" x14ac:dyDescent="0.35">
      <c r="A42" s="368" t="str">
        <f>'Summary (READ FIRST)'!$B$8</f>
        <v>Supplier 1</v>
      </c>
      <c r="B42" s="367" t="str">
        <f>'Summary (READ FIRST)'!$B$11</f>
        <v>English</v>
      </c>
      <c r="C42" s="367" t="s">
        <v>14</v>
      </c>
      <c r="D42" s="367" t="s">
        <v>29</v>
      </c>
      <c r="E42" s="367" t="s">
        <v>20</v>
      </c>
      <c r="F42" s="367" t="s">
        <v>22</v>
      </c>
      <c r="G42" s="382">
        <f>Subtitling!Q18</f>
        <v>40</v>
      </c>
      <c r="H42" s="382">
        <f>Subtitling!R18</f>
        <v>25</v>
      </c>
      <c r="I42" s="382"/>
      <c r="J42" s="382">
        <f>Subtitling!$W$18</f>
        <v>0</v>
      </c>
      <c r="K42" s="382">
        <f>Subtitling!$X$18</f>
        <v>0</v>
      </c>
      <c r="L42" s="382">
        <f>Subtitling!$Z$18</f>
        <v>0</v>
      </c>
      <c r="M42" s="407">
        <f>Subtitling!$AA$18</f>
        <v>0</v>
      </c>
      <c r="N42" s="391" t="str">
        <f>Subtitling!$AB$18</f>
        <v>Note 1</v>
      </c>
    </row>
    <row r="43" spans="1:14" s="367" customFormat="1" x14ac:dyDescent="0.35">
      <c r="A43" s="369" t="str">
        <f>'Summary (READ FIRST)'!$B$8</f>
        <v>Supplier 1</v>
      </c>
      <c r="B43" s="370" t="str">
        <f>'Summary (READ FIRST)'!$B$11</f>
        <v>English</v>
      </c>
      <c r="C43" s="370" t="s">
        <v>14</v>
      </c>
      <c r="D43" s="367" t="s">
        <v>29</v>
      </c>
      <c r="E43" s="370" t="s">
        <v>20</v>
      </c>
      <c r="F43" s="370" t="s">
        <v>23</v>
      </c>
      <c r="G43" s="382">
        <f>Subtitling!T18</f>
        <v>27</v>
      </c>
      <c r="H43" s="382">
        <f>Subtitling!U18</f>
        <v>12</v>
      </c>
      <c r="I43" s="382"/>
      <c r="J43" s="382">
        <f>Subtitling!$W$18</f>
        <v>0</v>
      </c>
      <c r="K43" s="382">
        <f>Subtitling!$X$18</f>
        <v>0</v>
      </c>
      <c r="L43" s="382">
        <f>Subtitling!$Z$18</f>
        <v>0</v>
      </c>
      <c r="M43" s="407">
        <f>Subtitling!$AA$18</f>
        <v>0</v>
      </c>
      <c r="N43" s="391" t="str">
        <f>Subtitling!$AB$18</f>
        <v>Note 1</v>
      </c>
    </row>
    <row r="44" spans="1:14" s="367" customFormat="1" x14ac:dyDescent="0.35">
      <c r="A44" s="371" t="str">
        <f>'Summary (READ FIRST)'!$B$8</f>
        <v>Supplier 1</v>
      </c>
      <c r="B44" s="366" t="str">
        <f>'Summary (READ FIRST)'!$B$11</f>
        <v>English</v>
      </c>
      <c r="C44" s="366" t="s">
        <v>14</v>
      </c>
      <c r="D44" s="366" t="s">
        <v>30</v>
      </c>
      <c r="E44" s="366" t="s">
        <v>16</v>
      </c>
      <c r="F44" s="366" t="s">
        <v>17</v>
      </c>
      <c r="G44" s="382">
        <f>Subtitling!E19</f>
        <v>0</v>
      </c>
      <c r="H44" s="382">
        <f>Subtitling!F19</f>
        <v>22</v>
      </c>
      <c r="I44" s="382"/>
      <c r="J44" s="382">
        <f>Subtitling!$W$19</f>
        <v>1</v>
      </c>
      <c r="K44" s="382">
        <f>Subtitling!$X$19</f>
        <v>0.5</v>
      </c>
      <c r="L44" s="382" t="str">
        <f>Subtitling!$Z$19</f>
        <v>Automated system</v>
      </c>
      <c r="M44" s="407">
        <f>Subtitling!$AA$19</f>
        <v>0.2</v>
      </c>
      <c r="N44" s="391" t="str">
        <f>Subtitling!$AB$19</f>
        <v>Note 1</v>
      </c>
    </row>
    <row r="45" spans="1:14" s="367" customFormat="1" x14ac:dyDescent="0.35">
      <c r="A45" s="368" t="str">
        <f>'Summary (READ FIRST)'!$B$8</f>
        <v>Supplier 1</v>
      </c>
      <c r="B45" s="367" t="str">
        <f>'Summary (READ FIRST)'!$B$11</f>
        <v>English</v>
      </c>
      <c r="C45" s="367" t="s">
        <v>14</v>
      </c>
      <c r="D45" s="367" t="s">
        <v>30</v>
      </c>
      <c r="E45" s="367" t="s">
        <v>16</v>
      </c>
      <c r="F45" s="367" t="s">
        <v>18</v>
      </c>
      <c r="G45" s="382">
        <f>Subtitling!H19</f>
        <v>0</v>
      </c>
      <c r="H45" s="382">
        <f>Subtitling!I19</f>
        <v>15</v>
      </c>
      <c r="I45" s="382"/>
      <c r="J45" s="382">
        <f>Subtitling!$W$19</f>
        <v>1</v>
      </c>
      <c r="K45" s="382">
        <f>Subtitling!$X$19</f>
        <v>0.5</v>
      </c>
      <c r="L45" s="382" t="str">
        <f>Subtitling!$Z$19</f>
        <v>Automated system</v>
      </c>
      <c r="M45" s="407">
        <f>Subtitling!$AA$19</f>
        <v>0.2</v>
      </c>
      <c r="N45" s="391" t="str">
        <f>Subtitling!$AB$19</f>
        <v>Note 1</v>
      </c>
    </row>
    <row r="46" spans="1:14" s="367" customFormat="1" x14ac:dyDescent="0.35">
      <c r="A46" s="368" t="str">
        <f>'Summary (READ FIRST)'!$B$8</f>
        <v>Supplier 1</v>
      </c>
      <c r="B46" s="367" t="str">
        <f>'Summary (READ FIRST)'!$B$11</f>
        <v>English</v>
      </c>
      <c r="C46" s="367" t="s">
        <v>14</v>
      </c>
      <c r="D46" s="367" t="s">
        <v>30</v>
      </c>
      <c r="E46" s="367" t="s">
        <v>16</v>
      </c>
      <c r="F46" s="367" t="s">
        <v>19</v>
      </c>
      <c r="G46" s="382">
        <f>Subtitling!K19</f>
        <v>35</v>
      </c>
      <c r="H46" s="382">
        <f>Subtitling!L19</f>
        <v>8</v>
      </c>
      <c r="I46" s="382"/>
      <c r="J46" s="382">
        <f>Subtitling!$W$19</f>
        <v>1</v>
      </c>
      <c r="K46" s="382">
        <f>Subtitling!$X$19</f>
        <v>0.5</v>
      </c>
      <c r="L46" s="382" t="str">
        <f>Subtitling!$Z$19</f>
        <v>Automated system</v>
      </c>
      <c r="M46" s="407">
        <f>Subtitling!$AA$19</f>
        <v>0.2</v>
      </c>
      <c r="N46" s="391" t="str">
        <f>Subtitling!$AB$19</f>
        <v>Note 1</v>
      </c>
    </row>
    <row r="47" spans="1:14" s="367" customFormat="1" x14ac:dyDescent="0.35">
      <c r="A47" s="368" t="str">
        <f>'Summary (READ FIRST)'!$B$8</f>
        <v>Supplier 1</v>
      </c>
      <c r="B47" s="367" t="str">
        <f>'Summary (READ FIRST)'!$B$11</f>
        <v>English</v>
      </c>
      <c r="C47" s="367" t="s">
        <v>14</v>
      </c>
      <c r="D47" s="367" t="s">
        <v>30</v>
      </c>
      <c r="E47" s="367" t="s">
        <v>20</v>
      </c>
      <c r="F47" s="367" t="s">
        <v>21</v>
      </c>
      <c r="G47" s="382">
        <f>Subtitling!N19</f>
        <v>0</v>
      </c>
      <c r="H47" s="382">
        <f>Subtitling!O19</f>
        <v>8</v>
      </c>
      <c r="I47" s="382"/>
      <c r="J47" s="382">
        <f>Subtitling!$W$19</f>
        <v>1</v>
      </c>
      <c r="K47" s="382">
        <f>Subtitling!$X$19</f>
        <v>0.5</v>
      </c>
      <c r="L47" s="382" t="str">
        <f>Subtitling!$Z$19</f>
        <v>Automated system</v>
      </c>
      <c r="M47" s="407">
        <f>Subtitling!$AA$19</f>
        <v>0.2</v>
      </c>
      <c r="N47" s="391" t="str">
        <f>Subtitling!$AB$19</f>
        <v>Note 1</v>
      </c>
    </row>
    <row r="48" spans="1:14" s="367" customFormat="1" x14ac:dyDescent="0.35">
      <c r="A48" s="368" t="str">
        <f>'Summary (READ FIRST)'!$B$8</f>
        <v>Supplier 1</v>
      </c>
      <c r="B48" s="367" t="str">
        <f>'Summary (READ FIRST)'!$B$11</f>
        <v>English</v>
      </c>
      <c r="C48" s="367" t="s">
        <v>14</v>
      </c>
      <c r="D48" s="367" t="s">
        <v>30</v>
      </c>
      <c r="E48" s="367" t="s">
        <v>20</v>
      </c>
      <c r="F48" s="367" t="s">
        <v>22</v>
      </c>
      <c r="G48" s="382">
        <f>Subtitling!Q19</f>
        <v>21</v>
      </c>
      <c r="H48" s="382">
        <f>Subtitling!R19</f>
        <v>14</v>
      </c>
      <c r="I48" s="382"/>
      <c r="J48" s="382">
        <f>Subtitling!$W$19</f>
        <v>1</v>
      </c>
      <c r="K48" s="382">
        <f>Subtitling!$X$19</f>
        <v>0.5</v>
      </c>
      <c r="L48" s="382" t="str">
        <f>Subtitling!$Z$19</f>
        <v>Automated system</v>
      </c>
      <c r="M48" s="407">
        <f>Subtitling!$AA$19</f>
        <v>0.2</v>
      </c>
      <c r="N48" s="391" t="str">
        <f>Subtitling!$AB$19</f>
        <v>Note 1</v>
      </c>
    </row>
    <row r="49" spans="1:14" s="367" customFormat="1" x14ac:dyDescent="0.35">
      <c r="A49" s="369" t="str">
        <f>'Summary (READ FIRST)'!$B$8</f>
        <v>Supplier 1</v>
      </c>
      <c r="B49" s="370" t="str">
        <f>'Summary (READ FIRST)'!$B$11</f>
        <v>English</v>
      </c>
      <c r="C49" s="370" t="s">
        <v>14</v>
      </c>
      <c r="D49" s="367" t="s">
        <v>30</v>
      </c>
      <c r="E49" s="370" t="s">
        <v>20</v>
      </c>
      <c r="F49" s="370" t="s">
        <v>23</v>
      </c>
      <c r="G49" s="382">
        <f>Subtitling!T19</f>
        <v>23</v>
      </c>
      <c r="H49" s="382">
        <f>Subtitling!U19</f>
        <v>14</v>
      </c>
      <c r="I49" s="382"/>
      <c r="J49" s="382">
        <f>Subtitling!$W$19</f>
        <v>1</v>
      </c>
      <c r="K49" s="382">
        <f>Subtitling!$X$19</f>
        <v>0.5</v>
      </c>
      <c r="L49" s="382" t="str">
        <f>Subtitling!$Z$19</f>
        <v>Automated system</v>
      </c>
      <c r="M49" s="407">
        <f>Subtitling!$AA$19</f>
        <v>0.2</v>
      </c>
      <c r="N49" s="391" t="str">
        <f>Subtitling!$AB$19</f>
        <v>Note 1</v>
      </c>
    </row>
    <row r="50" spans="1:14" s="367" customFormat="1" x14ac:dyDescent="0.35">
      <c r="A50" s="371" t="str">
        <f>'Summary (READ FIRST)'!$B$8</f>
        <v>Supplier 1</v>
      </c>
      <c r="B50" s="366" t="str">
        <f>'Summary (READ FIRST)'!$B$11</f>
        <v>English</v>
      </c>
      <c r="C50" s="366" t="s">
        <v>14</v>
      </c>
      <c r="D50" s="366" t="s">
        <v>31</v>
      </c>
      <c r="E50" s="366" t="s">
        <v>16</v>
      </c>
      <c r="F50" s="366" t="s">
        <v>17</v>
      </c>
      <c r="G50" s="382">
        <f>Subtitling!E20</f>
        <v>31</v>
      </c>
      <c r="H50" s="382">
        <f>Subtitling!F20</f>
        <v>0</v>
      </c>
      <c r="I50" s="382"/>
      <c r="J50" s="382">
        <f>Subtitling!$W$20</f>
        <v>1</v>
      </c>
      <c r="K50" s="382">
        <f>Subtitling!$X$20</f>
        <v>0.5</v>
      </c>
      <c r="L50" s="382" t="str">
        <f>Subtitling!$Z$20</f>
        <v>Tools</v>
      </c>
      <c r="M50" s="407">
        <f>Subtitling!$AA$20</f>
        <v>0.05</v>
      </c>
      <c r="N50" s="391">
        <f>Subtitling!$AB$20</f>
        <v>0</v>
      </c>
    </row>
    <row r="51" spans="1:14" s="367" customFormat="1" x14ac:dyDescent="0.35">
      <c r="A51" s="368" t="str">
        <f>'Summary (READ FIRST)'!$B$8</f>
        <v>Supplier 1</v>
      </c>
      <c r="B51" s="367" t="str">
        <f>'Summary (READ FIRST)'!$B$11</f>
        <v>English</v>
      </c>
      <c r="C51" s="367" t="s">
        <v>14</v>
      </c>
      <c r="D51" s="367" t="s">
        <v>31</v>
      </c>
      <c r="E51" s="367" t="s">
        <v>16</v>
      </c>
      <c r="F51" s="367" t="s">
        <v>18</v>
      </c>
      <c r="G51" s="382">
        <f>Subtitling!H20</f>
        <v>39</v>
      </c>
      <c r="H51" s="382">
        <f>Subtitling!I20</f>
        <v>0</v>
      </c>
      <c r="I51" s="382"/>
      <c r="J51" s="382">
        <f>Subtitling!$W$20</f>
        <v>1</v>
      </c>
      <c r="K51" s="382">
        <f>Subtitling!$X$20</f>
        <v>0.5</v>
      </c>
      <c r="L51" s="382" t="str">
        <f>Subtitling!$Z$20</f>
        <v>Tools</v>
      </c>
      <c r="M51" s="407">
        <f>Subtitling!$AA$20</f>
        <v>0.05</v>
      </c>
      <c r="N51" s="391">
        <f>Subtitling!$AB$20</f>
        <v>0</v>
      </c>
    </row>
    <row r="52" spans="1:14" s="367" customFormat="1" x14ac:dyDescent="0.35">
      <c r="A52" s="368" t="str">
        <f>'Summary (READ FIRST)'!$B$8</f>
        <v>Supplier 1</v>
      </c>
      <c r="B52" s="367" t="str">
        <f>'Summary (READ FIRST)'!$B$11</f>
        <v>English</v>
      </c>
      <c r="C52" s="367" t="s">
        <v>14</v>
      </c>
      <c r="D52" s="367" t="s">
        <v>31</v>
      </c>
      <c r="E52" s="367" t="s">
        <v>16</v>
      </c>
      <c r="F52" s="367" t="s">
        <v>19</v>
      </c>
      <c r="G52" s="382">
        <f>Subtitling!K20</f>
        <v>0</v>
      </c>
      <c r="H52" s="382">
        <f>Subtitling!L20</f>
        <v>0</v>
      </c>
      <c r="I52" s="382"/>
      <c r="J52" s="382">
        <f>Subtitling!$W$20</f>
        <v>1</v>
      </c>
      <c r="K52" s="382">
        <f>Subtitling!$X$20</f>
        <v>0.5</v>
      </c>
      <c r="L52" s="382" t="str">
        <f>Subtitling!$Z$20</f>
        <v>Tools</v>
      </c>
      <c r="M52" s="407">
        <f>Subtitling!$AA$20</f>
        <v>0.05</v>
      </c>
      <c r="N52" s="391">
        <f>Subtitling!$AB$20</f>
        <v>0</v>
      </c>
    </row>
    <row r="53" spans="1:14" s="367" customFormat="1" x14ac:dyDescent="0.35">
      <c r="A53" s="368" t="str">
        <f>'Summary (READ FIRST)'!$B$8</f>
        <v>Supplier 1</v>
      </c>
      <c r="B53" s="367" t="str">
        <f>'Summary (READ FIRST)'!$B$11</f>
        <v>English</v>
      </c>
      <c r="C53" s="367" t="s">
        <v>14</v>
      </c>
      <c r="D53" s="367" t="s">
        <v>31</v>
      </c>
      <c r="E53" s="367" t="s">
        <v>20</v>
      </c>
      <c r="F53" s="367" t="s">
        <v>21</v>
      </c>
      <c r="G53" s="382">
        <f>Subtitling!N20</f>
        <v>22</v>
      </c>
      <c r="H53" s="382">
        <f>Subtitling!O20</f>
        <v>15</v>
      </c>
      <c r="I53" s="382"/>
      <c r="J53" s="382">
        <f>Subtitling!$W$20</f>
        <v>1</v>
      </c>
      <c r="K53" s="382">
        <f>Subtitling!$X$20</f>
        <v>0.5</v>
      </c>
      <c r="L53" s="382" t="str">
        <f>Subtitling!$Z$20</f>
        <v>Tools</v>
      </c>
      <c r="M53" s="407">
        <f>Subtitling!$AA$20</f>
        <v>0.05</v>
      </c>
      <c r="N53" s="391">
        <f>Subtitling!$AB$20</f>
        <v>0</v>
      </c>
    </row>
    <row r="54" spans="1:14" s="367" customFormat="1" x14ac:dyDescent="0.35">
      <c r="A54" s="368" t="str">
        <f>'Summary (READ FIRST)'!$B$8</f>
        <v>Supplier 1</v>
      </c>
      <c r="B54" s="367" t="str">
        <f>'Summary (READ FIRST)'!$B$11</f>
        <v>English</v>
      </c>
      <c r="C54" s="367" t="s">
        <v>14</v>
      </c>
      <c r="D54" s="367" t="s">
        <v>31</v>
      </c>
      <c r="E54" s="367" t="s">
        <v>20</v>
      </c>
      <c r="F54" s="367" t="s">
        <v>22</v>
      </c>
      <c r="G54" s="382">
        <f>Subtitling!Q20</f>
        <v>33</v>
      </c>
      <c r="H54" s="382">
        <f>Subtitling!R20</f>
        <v>21</v>
      </c>
      <c r="I54" s="382"/>
      <c r="J54" s="382">
        <f>Subtitling!$W$20</f>
        <v>1</v>
      </c>
      <c r="K54" s="382">
        <f>Subtitling!$X$20</f>
        <v>0.5</v>
      </c>
      <c r="L54" s="382" t="str">
        <f>Subtitling!$Z$20</f>
        <v>Tools</v>
      </c>
      <c r="M54" s="407">
        <f>Subtitling!$AA$20</f>
        <v>0.05</v>
      </c>
      <c r="N54" s="391">
        <f>Subtitling!$AB$20</f>
        <v>0</v>
      </c>
    </row>
    <row r="55" spans="1:14" s="367" customFormat="1" x14ac:dyDescent="0.35">
      <c r="A55" s="369" t="str">
        <f>'Summary (READ FIRST)'!$B$8</f>
        <v>Supplier 1</v>
      </c>
      <c r="B55" s="370" t="str">
        <f>'Summary (READ FIRST)'!$B$11</f>
        <v>English</v>
      </c>
      <c r="C55" s="370" t="s">
        <v>14</v>
      </c>
      <c r="D55" s="367" t="s">
        <v>31</v>
      </c>
      <c r="E55" s="370" t="s">
        <v>20</v>
      </c>
      <c r="F55" s="370" t="s">
        <v>23</v>
      </c>
      <c r="G55" s="382">
        <f>Subtitling!T20</f>
        <v>0</v>
      </c>
      <c r="H55" s="382">
        <f>Subtitling!U20</f>
        <v>21</v>
      </c>
      <c r="I55" s="382"/>
      <c r="J55" s="382">
        <f>Subtitling!$W$20</f>
        <v>1</v>
      </c>
      <c r="K55" s="382">
        <f>Subtitling!$X$20</f>
        <v>0.5</v>
      </c>
      <c r="L55" s="382" t="str">
        <f>Subtitling!$Z$20</f>
        <v>Tools</v>
      </c>
      <c r="M55" s="407">
        <f>Subtitling!$AA$20</f>
        <v>0.05</v>
      </c>
      <c r="N55" s="391">
        <f>Subtitling!$AB$20</f>
        <v>0</v>
      </c>
    </row>
    <row r="56" spans="1:14" s="367" customFormat="1" x14ac:dyDescent="0.35">
      <c r="A56" s="371" t="str">
        <f>'Summary (READ FIRST)'!$B$8</f>
        <v>Supplier 1</v>
      </c>
      <c r="B56" s="366" t="str">
        <f>'Summary (READ FIRST)'!$B$11</f>
        <v>English</v>
      </c>
      <c r="C56" s="366" t="s">
        <v>14</v>
      </c>
      <c r="D56" s="366" t="s">
        <v>32</v>
      </c>
      <c r="E56" s="366" t="s">
        <v>16</v>
      </c>
      <c r="F56" s="366" t="s">
        <v>17</v>
      </c>
      <c r="G56" s="382">
        <f>Subtitling!E21</f>
        <v>37</v>
      </c>
      <c r="H56" s="382">
        <f>Subtitling!F21</f>
        <v>23</v>
      </c>
      <c r="I56" s="382"/>
      <c r="J56" s="382">
        <f>Subtitling!$W$21</f>
        <v>1</v>
      </c>
      <c r="K56" s="382">
        <f>Subtitling!$X$21</f>
        <v>0.5</v>
      </c>
      <c r="L56" s="382" t="str">
        <f>Subtitling!$Z$21</f>
        <v>Workflow</v>
      </c>
      <c r="M56" s="407">
        <f>Subtitling!$AA$21</f>
        <v>0.15</v>
      </c>
      <c r="N56" s="391" t="str">
        <f>Subtitling!$AB$21</f>
        <v>Note 1</v>
      </c>
    </row>
    <row r="57" spans="1:14" s="367" customFormat="1" x14ac:dyDescent="0.35">
      <c r="A57" s="368" t="str">
        <f>'Summary (READ FIRST)'!$B$8</f>
        <v>Supplier 1</v>
      </c>
      <c r="B57" s="367" t="str">
        <f>'Summary (READ FIRST)'!$B$11</f>
        <v>English</v>
      </c>
      <c r="C57" s="367" t="s">
        <v>14</v>
      </c>
      <c r="D57" s="367" t="s">
        <v>32</v>
      </c>
      <c r="E57" s="367" t="s">
        <v>16</v>
      </c>
      <c r="F57" s="367" t="s">
        <v>18</v>
      </c>
      <c r="G57" s="382">
        <f>Subtitling!H21</f>
        <v>27</v>
      </c>
      <c r="H57" s="382">
        <f>Subtitling!I21</f>
        <v>19</v>
      </c>
      <c r="I57" s="382"/>
      <c r="J57" s="382">
        <f>Subtitling!$W$21</f>
        <v>1</v>
      </c>
      <c r="K57" s="382">
        <f>Subtitling!$X$21</f>
        <v>0.5</v>
      </c>
      <c r="L57" s="382" t="str">
        <f>Subtitling!$Z$21</f>
        <v>Workflow</v>
      </c>
      <c r="M57" s="407">
        <f>Subtitling!$AA$21</f>
        <v>0.15</v>
      </c>
      <c r="N57" s="391" t="str">
        <f>Subtitling!$AB$21</f>
        <v>Note 1</v>
      </c>
    </row>
    <row r="58" spans="1:14" s="367" customFormat="1" x14ac:dyDescent="0.35">
      <c r="A58" s="368" t="str">
        <f>'Summary (READ FIRST)'!$B$8</f>
        <v>Supplier 1</v>
      </c>
      <c r="B58" s="367" t="str">
        <f>'Summary (READ FIRST)'!$B$11</f>
        <v>English</v>
      </c>
      <c r="C58" s="367" t="s">
        <v>14</v>
      </c>
      <c r="D58" s="367" t="s">
        <v>32</v>
      </c>
      <c r="E58" s="367" t="s">
        <v>16</v>
      </c>
      <c r="F58" s="367" t="s">
        <v>19</v>
      </c>
      <c r="G58" s="382">
        <f>Subtitling!K21</f>
        <v>22</v>
      </c>
      <c r="H58" s="382">
        <f>Subtitling!L21</f>
        <v>14</v>
      </c>
      <c r="I58" s="382"/>
      <c r="J58" s="382">
        <f>Subtitling!$W$21</f>
        <v>1</v>
      </c>
      <c r="K58" s="382">
        <f>Subtitling!$X$21</f>
        <v>0.5</v>
      </c>
      <c r="L58" s="382" t="str">
        <f>Subtitling!$Z$21</f>
        <v>Workflow</v>
      </c>
      <c r="M58" s="407">
        <f>Subtitling!$AA$21</f>
        <v>0.15</v>
      </c>
      <c r="N58" s="391" t="str">
        <f>Subtitling!$AB$21</f>
        <v>Note 1</v>
      </c>
    </row>
    <row r="59" spans="1:14" s="367" customFormat="1" x14ac:dyDescent="0.35">
      <c r="A59" s="368" t="str">
        <f>'Summary (READ FIRST)'!$B$8</f>
        <v>Supplier 1</v>
      </c>
      <c r="B59" s="367" t="str">
        <f>'Summary (READ FIRST)'!$B$11</f>
        <v>English</v>
      </c>
      <c r="C59" s="367" t="s">
        <v>14</v>
      </c>
      <c r="D59" s="367" t="s">
        <v>32</v>
      </c>
      <c r="E59" s="367" t="s">
        <v>20</v>
      </c>
      <c r="F59" s="367" t="s">
        <v>21</v>
      </c>
      <c r="G59" s="382">
        <f>Subtitling!N21</f>
        <v>22</v>
      </c>
      <c r="H59" s="382">
        <f>Subtitling!O21</f>
        <v>0</v>
      </c>
      <c r="I59" s="382"/>
      <c r="J59" s="382">
        <f>Subtitling!$W$21</f>
        <v>1</v>
      </c>
      <c r="K59" s="382">
        <f>Subtitling!$X$21</f>
        <v>0.5</v>
      </c>
      <c r="L59" s="382" t="str">
        <f>Subtitling!$Z$21</f>
        <v>Workflow</v>
      </c>
      <c r="M59" s="407">
        <f>Subtitling!$AA$21</f>
        <v>0.15</v>
      </c>
      <c r="N59" s="391" t="str">
        <f>Subtitling!$AB$21</f>
        <v>Note 1</v>
      </c>
    </row>
    <row r="60" spans="1:14" s="367" customFormat="1" x14ac:dyDescent="0.35">
      <c r="A60" s="368" t="str">
        <f>'Summary (READ FIRST)'!$B$8</f>
        <v>Supplier 1</v>
      </c>
      <c r="B60" s="367" t="str">
        <f>'Summary (READ FIRST)'!$B$11</f>
        <v>English</v>
      </c>
      <c r="C60" s="367" t="s">
        <v>14</v>
      </c>
      <c r="D60" s="367" t="s">
        <v>32</v>
      </c>
      <c r="E60" s="367" t="s">
        <v>20</v>
      </c>
      <c r="F60" s="367" t="s">
        <v>22</v>
      </c>
      <c r="G60" s="382">
        <f>Subtitling!Q21</f>
        <v>29</v>
      </c>
      <c r="H60" s="382">
        <f>Subtitling!R21</f>
        <v>0</v>
      </c>
      <c r="I60" s="382"/>
      <c r="J60" s="382">
        <f>Subtitling!$W$21</f>
        <v>1</v>
      </c>
      <c r="K60" s="382">
        <f>Subtitling!$X$21</f>
        <v>0.5</v>
      </c>
      <c r="L60" s="382" t="str">
        <f>Subtitling!$Z$21</f>
        <v>Workflow</v>
      </c>
      <c r="M60" s="407">
        <f>Subtitling!$AA$21</f>
        <v>0.15</v>
      </c>
      <c r="N60" s="391" t="str">
        <f>Subtitling!$AB$21</f>
        <v>Note 1</v>
      </c>
    </row>
    <row r="61" spans="1:14" s="367" customFormat="1" x14ac:dyDescent="0.35">
      <c r="A61" s="369" t="str">
        <f>'Summary (READ FIRST)'!$B$8</f>
        <v>Supplier 1</v>
      </c>
      <c r="B61" s="370" t="str">
        <f>'Summary (READ FIRST)'!$B$11</f>
        <v>English</v>
      </c>
      <c r="C61" s="370" t="s">
        <v>14</v>
      </c>
      <c r="D61" s="367" t="s">
        <v>32</v>
      </c>
      <c r="E61" s="370" t="s">
        <v>20</v>
      </c>
      <c r="F61" s="370" t="s">
        <v>23</v>
      </c>
      <c r="G61" s="382">
        <f>Subtitling!T21</f>
        <v>26</v>
      </c>
      <c r="H61" s="382">
        <f>Subtitling!U21</f>
        <v>0</v>
      </c>
      <c r="I61" s="382"/>
      <c r="J61" s="382">
        <f>Subtitling!$W$21</f>
        <v>1</v>
      </c>
      <c r="K61" s="382">
        <f>Subtitling!$X$21</f>
        <v>0.5</v>
      </c>
      <c r="L61" s="382" t="str">
        <f>Subtitling!$Z$21</f>
        <v>Workflow</v>
      </c>
      <c r="M61" s="407">
        <f>Subtitling!$AA$21</f>
        <v>0.15</v>
      </c>
      <c r="N61" s="391" t="str">
        <f>Subtitling!$AB$21</f>
        <v>Note 1</v>
      </c>
    </row>
    <row r="62" spans="1:14" s="367" customFormat="1" x14ac:dyDescent="0.35">
      <c r="A62" s="371" t="str">
        <f>'Summary (READ FIRST)'!$B$8</f>
        <v>Supplier 1</v>
      </c>
      <c r="B62" s="366" t="str">
        <f>'Summary (READ FIRST)'!$B$11</f>
        <v>English</v>
      </c>
      <c r="C62" s="366" t="s">
        <v>14</v>
      </c>
      <c r="D62" s="366" t="s">
        <v>33</v>
      </c>
      <c r="E62" s="366" t="s">
        <v>16</v>
      </c>
      <c r="F62" s="366" t="s">
        <v>17</v>
      </c>
      <c r="G62" s="382">
        <f>Subtitling!E22</f>
        <v>26</v>
      </c>
      <c r="H62" s="382">
        <f>Subtitling!F22</f>
        <v>18</v>
      </c>
      <c r="I62" s="382"/>
      <c r="J62" s="382">
        <f>Subtitling!$W$22</f>
        <v>1</v>
      </c>
      <c r="K62" s="382">
        <f>Subtitling!$X$22</f>
        <v>0.5</v>
      </c>
      <c r="L62" s="382" t="str">
        <f>Subtitling!$Z$22</f>
        <v>Tools</v>
      </c>
      <c r="M62" s="407">
        <f>Subtitling!$AA$22</f>
        <v>0.1</v>
      </c>
      <c r="N62" s="391" t="str">
        <f>Subtitling!$AB$22</f>
        <v>Note 1</v>
      </c>
    </row>
    <row r="63" spans="1:14" s="367" customFormat="1" x14ac:dyDescent="0.35">
      <c r="A63" s="368" t="str">
        <f>'Summary (READ FIRST)'!$B$8</f>
        <v>Supplier 1</v>
      </c>
      <c r="B63" s="367" t="str">
        <f>'Summary (READ FIRST)'!$B$11</f>
        <v>English</v>
      </c>
      <c r="C63" s="367" t="s">
        <v>14</v>
      </c>
      <c r="D63" s="367" t="s">
        <v>33</v>
      </c>
      <c r="E63" s="367" t="s">
        <v>16</v>
      </c>
      <c r="F63" s="367" t="s">
        <v>18</v>
      </c>
      <c r="G63" s="382">
        <f>Subtitling!H22</f>
        <v>23</v>
      </c>
      <c r="H63" s="382">
        <f>Subtitling!I22</f>
        <v>17</v>
      </c>
      <c r="I63" s="382"/>
      <c r="J63" s="382">
        <f>Subtitling!$W$22</f>
        <v>1</v>
      </c>
      <c r="K63" s="382">
        <f>Subtitling!$X$22</f>
        <v>0.5</v>
      </c>
      <c r="L63" s="382" t="str">
        <f>Subtitling!$Z$22</f>
        <v>Tools</v>
      </c>
      <c r="M63" s="407">
        <f>Subtitling!$AA$22</f>
        <v>0.1</v>
      </c>
      <c r="N63" s="391" t="str">
        <f>Subtitling!$AB$22</f>
        <v>Note 1</v>
      </c>
    </row>
    <row r="64" spans="1:14" s="367" customFormat="1" x14ac:dyDescent="0.35">
      <c r="A64" s="368" t="str">
        <f>'Summary (READ FIRST)'!$B$8</f>
        <v>Supplier 1</v>
      </c>
      <c r="B64" s="367" t="str">
        <f>'Summary (READ FIRST)'!$B$11</f>
        <v>English</v>
      </c>
      <c r="C64" s="367" t="s">
        <v>14</v>
      </c>
      <c r="D64" s="367" t="s">
        <v>33</v>
      </c>
      <c r="E64" s="367" t="s">
        <v>16</v>
      </c>
      <c r="F64" s="367" t="s">
        <v>19</v>
      </c>
      <c r="G64" s="382">
        <f>Subtitling!K22</f>
        <v>39</v>
      </c>
      <c r="H64" s="382">
        <f>Subtitling!L22</f>
        <v>19</v>
      </c>
      <c r="I64" s="382"/>
      <c r="J64" s="382">
        <f>Subtitling!$W$22</f>
        <v>1</v>
      </c>
      <c r="K64" s="382">
        <f>Subtitling!$X$22</f>
        <v>0.5</v>
      </c>
      <c r="L64" s="382" t="str">
        <f>Subtitling!$Z$22</f>
        <v>Tools</v>
      </c>
      <c r="M64" s="407">
        <f>Subtitling!$AA$22</f>
        <v>0.1</v>
      </c>
      <c r="N64" s="391" t="str">
        <f>Subtitling!$AB$22</f>
        <v>Note 1</v>
      </c>
    </row>
    <row r="65" spans="1:14" s="367" customFormat="1" x14ac:dyDescent="0.35">
      <c r="A65" s="368" t="str">
        <f>'Summary (READ FIRST)'!$B$8</f>
        <v>Supplier 1</v>
      </c>
      <c r="B65" s="367" t="str">
        <f>'Summary (READ FIRST)'!$B$11</f>
        <v>English</v>
      </c>
      <c r="C65" s="367" t="s">
        <v>14</v>
      </c>
      <c r="D65" s="367" t="s">
        <v>33</v>
      </c>
      <c r="E65" s="367" t="s">
        <v>20</v>
      </c>
      <c r="F65" s="367" t="s">
        <v>21</v>
      </c>
      <c r="G65" s="382">
        <f>Subtitling!N22</f>
        <v>35</v>
      </c>
      <c r="H65" s="382">
        <f>Subtitling!O22</f>
        <v>22</v>
      </c>
      <c r="I65" s="382"/>
      <c r="J65" s="382">
        <f>Subtitling!$W$22</f>
        <v>1</v>
      </c>
      <c r="K65" s="382">
        <f>Subtitling!$X$22</f>
        <v>0.5</v>
      </c>
      <c r="L65" s="382" t="str">
        <f>Subtitling!$Z$22</f>
        <v>Tools</v>
      </c>
      <c r="M65" s="407">
        <f>Subtitling!$AA$22</f>
        <v>0.1</v>
      </c>
      <c r="N65" s="391" t="str">
        <f>Subtitling!$AB$22</f>
        <v>Note 1</v>
      </c>
    </row>
    <row r="66" spans="1:14" s="367" customFormat="1" x14ac:dyDescent="0.35">
      <c r="A66" s="368" t="str">
        <f>'Summary (READ FIRST)'!$B$8</f>
        <v>Supplier 1</v>
      </c>
      <c r="B66" s="367" t="str">
        <f>'Summary (READ FIRST)'!$B$11</f>
        <v>English</v>
      </c>
      <c r="C66" s="367" t="s">
        <v>14</v>
      </c>
      <c r="D66" s="367" t="s">
        <v>33</v>
      </c>
      <c r="E66" s="367" t="s">
        <v>20</v>
      </c>
      <c r="F66" s="367" t="s">
        <v>22</v>
      </c>
      <c r="G66" s="382">
        <f>Subtitling!Q22</f>
        <v>0</v>
      </c>
      <c r="H66" s="382">
        <f>Subtitling!R22</f>
        <v>26</v>
      </c>
      <c r="I66" s="382"/>
      <c r="J66" s="382">
        <f>Subtitling!$W$22</f>
        <v>1</v>
      </c>
      <c r="K66" s="382">
        <f>Subtitling!$X$22</f>
        <v>0.5</v>
      </c>
      <c r="L66" s="382" t="str">
        <f>Subtitling!$Z$22</f>
        <v>Tools</v>
      </c>
      <c r="M66" s="407">
        <f>Subtitling!$AA$22</f>
        <v>0.1</v>
      </c>
      <c r="N66" s="391" t="str">
        <f>Subtitling!$AB$22</f>
        <v>Note 1</v>
      </c>
    </row>
    <row r="67" spans="1:14" s="367" customFormat="1" x14ac:dyDescent="0.35">
      <c r="A67" s="369" t="str">
        <f>'Summary (READ FIRST)'!$B$8</f>
        <v>Supplier 1</v>
      </c>
      <c r="B67" s="370" t="str">
        <f>'Summary (READ FIRST)'!$B$11</f>
        <v>English</v>
      </c>
      <c r="C67" s="370" t="s">
        <v>14</v>
      </c>
      <c r="D67" s="367" t="s">
        <v>33</v>
      </c>
      <c r="E67" s="370" t="s">
        <v>20</v>
      </c>
      <c r="F67" s="370" t="s">
        <v>23</v>
      </c>
      <c r="G67" s="382">
        <f>Subtitling!T22</f>
        <v>20</v>
      </c>
      <c r="H67" s="382">
        <f>Subtitling!U22</f>
        <v>13</v>
      </c>
      <c r="I67" s="382"/>
      <c r="J67" s="382">
        <f>Subtitling!$W$22</f>
        <v>1</v>
      </c>
      <c r="K67" s="382">
        <f>Subtitling!$X$22</f>
        <v>0.5</v>
      </c>
      <c r="L67" s="382" t="str">
        <f>Subtitling!$Z$22</f>
        <v>Tools</v>
      </c>
      <c r="M67" s="407">
        <f>Subtitling!$AA$22</f>
        <v>0.1</v>
      </c>
      <c r="N67" s="391" t="str">
        <f>Subtitling!$AB$22</f>
        <v>Note 1</v>
      </c>
    </row>
    <row r="68" spans="1:14" x14ac:dyDescent="0.35">
      <c r="A68" s="372" t="str">
        <f>'Summary (READ FIRST)'!$B$8</f>
        <v>Supplier 1</v>
      </c>
      <c r="B68" s="373" t="str">
        <f>'Summary (READ FIRST)'!$B$11</f>
        <v>English</v>
      </c>
      <c r="C68" s="373" t="s">
        <v>34</v>
      </c>
      <c r="D68" s="373" t="s">
        <v>15</v>
      </c>
      <c r="E68" s="373" t="s">
        <v>16</v>
      </c>
      <c r="F68" s="373" t="s">
        <v>17</v>
      </c>
      <c r="G68" s="383">
        <f>'CC &amp; HOH'!E12</f>
        <v>15</v>
      </c>
      <c r="H68" s="383">
        <f>'CC &amp; HOH'!F12</f>
        <v>7</v>
      </c>
      <c r="I68" s="383"/>
      <c r="J68" s="383">
        <f>'CC &amp; HOH'!$W$12</f>
        <v>1</v>
      </c>
      <c r="K68" s="383">
        <f>'CC &amp; HOH'!$X$12</f>
        <v>0.5</v>
      </c>
      <c r="L68" s="383" t="str">
        <f>'CC &amp; HOH'!$Z$12</f>
        <v>Tools</v>
      </c>
      <c r="M68" s="408">
        <f>'CC &amp; HOH'!$AA$12</f>
        <v>0.15</v>
      </c>
      <c r="N68" s="409" t="str">
        <f>'CC &amp; HOH'!$AB$12</f>
        <v>Note 2</v>
      </c>
    </row>
    <row r="69" spans="1:14" x14ac:dyDescent="0.35">
      <c r="A69" s="374" t="str">
        <f>'Summary (READ FIRST)'!$B$8</f>
        <v>Supplier 1</v>
      </c>
      <c r="B69" s="375" t="str">
        <f>'Summary (READ FIRST)'!$B$11</f>
        <v>English</v>
      </c>
      <c r="C69" s="375" t="s">
        <v>34</v>
      </c>
      <c r="D69" s="375" t="s">
        <v>15</v>
      </c>
      <c r="E69" s="375" t="s">
        <v>16</v>
      </c>
      <c r="F69" s="375" t="s">
        <v>18</v>
      </c>
      <c r="G69" s="383">
        <f>'CC &amp; HOH'!H12</f>
        <v>5</v>
      </c>
      <c r="H69" s="383">
        <f>'CC &amp; HOH'!I12</f>
        <v>4</v>
      </c>
      <c r="I69" s="383"/>
      <c r="J69" s="383">
        <f>'CC &amp; HOH'!$W$12</f>
        <v>1</v>
      </c>
      <c r="K69" s="383">
        <f>'CC &amp; HOH'!$X$12</f>
        <v>0.5</v>
      </c>
      <c r="L69" s="383" t="str">
        <f>'CC &amp; HOH'!$Z$12</f>
        <v>Tools</v>
      </c>
      <c r="M69" s="408">
        <f>'CC &amp; HOH'!$AA$12</f>
        <v>0.15</v>
      </c>
      <c r="N69" s="409" t="str">
        <f>'CC &amp; HOH'!$AB$12</f>
        <v>Note 2</v>
      </c>
    </row>
    <row r="70" spans="1:14" x14ac:dyDescent="0.35">
      <c r="A70" s="374" t="str">
        <f>'Summary (READ FIRST)'!$B$8</f>
        <v>Supplier 1</v>
      </c>
      <c r="B70" s="375" t="str">
        <f>'Summary (READ FIRST)'!$B$11</f>
        <v>English</v>
      </c>
      <c r="C70" s="375" t="s">
        <v>34</v>
      </c>
      <c r="D70" s="375" t="s">
        <v>15</v>
      </c>
      <c r="E70" s="375" t="s">
        <v>16</v>
      </c>
      <c r="F70" s="375" t="s">
        <v>19</v>
      </c>
      <c r="G70" s="383">
        <f>'CC &amp; HOH'!K12</f>
        <v>10</v>
      </c>
      <c r="H70" s="383">
        <f>'CC &amp; HOH'!L12</f>
        <v>9</v>
      </c>
      <c r="I70" s="383"/>
      <c r="J70" s="383">
        <f>'CC &amp; HOH'!$W$12</f>
        <v>1</v>
      </c>
      <c r="K70" s="383">
        <f>'CC &amp; HOH'!$X$12</f>
        <v>0.5</v>
      </c>
      <c r="L70" s="383" t="str">
        <f>'CC &amp; HOH'!$Z$12</f>
        <v>Tools</v>
      </c>
      <c r="M70" s="408">
        <f>'CC &amp; HOH'!$AA$12</f>
        <v>0.15</v>
      </c>
      <c r="N70" s="409" t="str">
        <f>'CC &amp; HOH'!$AB$12</f>
        <v>Note 2</v>
      </c>
    </row>
    <row r="71" spans="1:14" x14ac:dyDescent="0.35">
      <c r="A71" s="374" t="str">
        <f>'Summary (READ FIRST)'!$B$8</f>
        <v>Supplier 1</v>
      </c>
      <c r="B71" s="375" t="str">
        <f>'Summary (READ FIRST)'!$B$11</f>
        <v>English</v>
      </c>
      <c r="C71" s="375" t="s">
        <v>34</v>
      </c>
      <c r="D71" s="375" t="s">
        <v>15</v>
      </c>
      <c r="E71" s="375" t="s">
        <v>20</v>
      </c>
      <c r="F71" s="375" t="s">
        <v>21</v>
      </c>
      <c r="G71" s="383">
        <f>'CC &amp; HOH'!N12</f>
        <v>8</v>
      </c>
      <c r="H71" s="383">
        <f>'CC &amp; HOH'!O12</f>
        <v>3</v>
      </c>
      <c r="I71" s="383"/>
      <c r="J71" s="383">
        <f>'CC &amp; HOH'!$W$12</f>
        <v>1</v>
      </c>
      <c r="K71" s="383">
        <f>'CC &amp; HOH'!$X$12</f>
        <v>0.5</v>
      </c>
      <c r="L71" s="383" t="str">
        <f>'CC &amp; HOH'!$Z$12</f>
        <v>Tools</v>
      </c>
      <c r="M71" s="408">
        <f>'CC &amp; HOH'!$AA$12</f>
        <v>0.15</v>
      </c>
      <c r="N71" s="409" t="str">
        <f>'CC &amp; HOH'!$AB$12</f>
        <v>Note 2</v>
      </c>
    </row>
    <row r="72" spans="1:14" x14ac:dyDescent="0.35">
      <c r="A72" s="374" t="str">
        <f>'Summary (READ FIRST)'!$B$8</f>
        <v>Supplier 1</v>
      </c>
      <c r="B72" s="375" t="str">
        <f>'Summary (READ FIRST)'!$B$11</f>
        <v>English</v>
      </c>
      <c r="C72" s="375" t="s">
        <v>34</v>
      </c>
      <c r="D72" s="375" t="s">
        <v>15</v>
      </c>
      <c r="E72" s="375" t="s">
        <v>20</v>
      </c>
      <c r="F72" s="375" t="s">
        <v>22</v>
      </c>
      <c r="G72" s="383">
        <f>'CC &amp; HOH'!Q12</f>
        <v>0</v>
      </c>
      <c r="H72" s="383">
        <f>'CC &amp; HOH'!R12</f>
        <v>8</v>
      </c>
      <c r="I72" s="383"/>
      <c r="J72" s="383">
        <f>'CC &amp; HOH'!$W$12</f>
        <v>1</v>
      </c>
      <c r="K72" s="383">
        <f>'CC &amp; HOH'!$X$12</f>
        <v>0.5</v>
      </c>
      <c r="L72" s="383" t="str">
        <f>'CC &amp; HOH'!$Z$12</f>
        <v>Tools</v>
      </c>
      <c r="M72" s="408">
        <f>'CC &amp; HOH'!$AA$12</f>
        <v>0.15</v>
      </c>
      <c r="N72" s="409" t="str">
        <f>'CC &amp; HOH'!$AB$12</f>
        <v>Note 2</v>
      </c>
    </row>
    <row r="73" spans="1:14" x14ac:dyDescent="0.35">
      <c r="A73" s="376" t="str">
        <f>'Summary (READ FIRST)'!$B$8</f>
        <v>Supplier 1</v>
      </c>
      <c r="B73" s="377" t="str">
        <f>'Summary (READ FIRST)'!$B$11</f>
        <v>English</v>
      </c>
      <c r="C73" s="377" t="s">
        <v>34</v>
      </c>
      <c r="D73" s="377" t="s">
        <v>15</v>
      </c>
      <c r="E73" s="377" t="s">
        <v>20</v>
      </c>
      <c r="F73" s="377" t="s">
        <v>23</v>
      </c>
      <c r="G73" s="383">
        <f>'CC &amp; HOH'!T12</f>
        <v>12</v>
      </c>
      <c r="H73" s="383">
        <f>'CC &amp; HOH'!U12</f>
        <v>8</v>
      </c>
      <c r="I73" s="383"/>
      <c r="J73" s="383">
        <f>'CC &amp; HOH'!$W$12</f>
        <v>1</v>
      </c>
      <c r="K73" s="383">
        <f>'CC &amp; HOH'!$X$12</f>
        <v>0.5</v>
      </c>
      <c r="L73" s="383" t="str">
        <f>'CC &amp; HOH'!$Z$12</f>
        <v>Tools</v>
      </c>
      <c r="M73" s="408">
        <f>'CC &amp; HOH'!$AA$12</f>
        <v>0.15</v>
      </c>
      <c r="N73" s="409" t="str">
        <f>'CC &amp; HOH'!$AB$12</f>
        <v>Note 2</v>
      </c>
    </row>
    <row r="74" spans="1:14" x14ac:dyDescent="0.35">
      <c r="A74" s="372" t="str">
        <f>'Summary (READ FIRST)'!$B$8</f>
        <v>Supplier 1</v>
      </c>
      <c r="B74" s="373" t="str">
        <f>'Summary (READ FIRST)'!$B$11</f>
        <v>English</v>
      </c>
      <c r="C74" s="373" t="s">
        <v>34</v>
      </c>
      <c r="D74" s="373" t="s">
        <v>24</v>
      </c>
      <c r="E74" s="373" t="s">
        <v>16</v>
      </c>
      <c r="F74" s="373" t="s">
        <v>17</v>
      </c>
      <c r="G74" s="383">
        <f>'CC &amp; HOH'!E13</f>
        <v>17</v>
      </c>
      <c r="H74" s="383">
        <f>'CC &amp; HOH'!F13</f>
        <v>0</v>
      </c>
      <c r="I74" s="383"/>
      <c r="J74" s="383">
        <f>'CC &amp; HOH'!$W$13</f>
        <v>0</v>
      </c>
      <c r="K74" s="383">
        <f>'CC &amp; HOH'!$X$13</f>
        <v>0.5</v>
      </c>
      <c r="L74" s="383" t="str">
        <f>'CC &amp; HOH'!$Z$13</f>
        <v>Workflow</v>
      </c>
      <c r="M74" s="408">
        <f>'CC &amp; HOH'!$AA$13</f>
        <v>0.1</v>
      </c>
      <c r="N74" s="409" t="str">
        <f>'CC &amp; HOH'!$AB$13</f>
        <v>Note 2</v>
      </c>
    </row>
    <row r="75" spans="1:14" x14ac:dyDescent="0.35">
      <c r="A75" s="374" t="str">
        <f>'Summary (READ FIRST)'!$B$8</f>
        <v>Supplier 1</v>
      </c>
      <c r="B75" s="375" t="str">
        <f>'Summary (READ FIRST)'!$B$11</f>
        <v>English</v>
      </c>
      <c r="C75" s="375" t="s">
        <v>34</v>
      </c>
      <c r="D75" s="375" t="s">
        <v>24</v>
      </c>
      <c r="E75" s="375" t="s">
        <v>16</v>
      </c>
      <c r="F75" s="375" t="s">
        <v>18</v>
      </c>
      <c r="G75" s="383">
        <f>'CC &amp; HOH'!H13</f>
        <v>6</v>
      </c>
      <c r="H75" s="383">
        <f>'CC &amp; HOH'!I13</f>
        <v>0</v>
      </c>
      <c r="I75" s="383"/>
      <c r="J75" s="383">
        <f>'CC &amp; HOH'!$W$13</f>
        <v>0</v>
      </c>
      <c r="K75" s="383">
        <f>'CC &amp; HOH'!$X$13</f>
        <v>0.5</v>
      </c>
      <c r="L75" s="383" t="str">
        <f>'CC &amp; HOH'!$Z$13</f>
        <v>Workflow</v>
      </c>
      <c r="M75" s="408">
        <f>'CC &amp; HOH'!$AA$13</f>
        <v>0.1</v>
      </c>
      <c r="N75" s="409" t="str">
        <f>'CC &amp; HOH'!$AB$13</f>
        <v>Note 2</v>
      </c>
    </row>
    <row r="76" spans="1:14" x14ac:dyDescent="0.35">
      <c r="A76" s="374" t="str">
        <f>'Summary (READ FIRST)'!$B$8</f>
        <v>Supplier 1</v>
      </c>
      <c r="B76" s="375" t="str">
        <f>'Summary (READ FIRST)'!$B$11</f>
        <v>English</v>
      </c>
      <c r="C76" s="375" t="s">
        <v>34</v>
      </c>
      <c r="D76" s="375" t="s">
        <v>24</v>
      </c>
      <c r="E76" s="375" t="s">
        <v>16</v>
      </c>
      <c r="F76" s="375" t="s">
        <v>19</v>
      </c>
      <c r="G76" s="383">
        <f>'CC &amp; HOH'!K13</f>
        <v>11</v>
      </c>
      <c r="H76" s="383">
        <f>'CC &amp; HOH'!L13</f>
        <v>0</v>
      </c>
      <c r="I76" s="383"/>
      <c r="J76" s="383">
        <f>'CC &amp; HOH'!$W$13</f>
        <v>0</v>
      </c>
      <c r="K76" s="383">
        <f>'CC &amp; HOH'!$X$13</f>
        <v>0.5</v>
      </c>
      <c r="L76" s="383" t="str">
        <f>'CC &amp; HOH'!$Z$13</f>
        <v>Workflow</v>
      </c>
      <c r="M76" s="408">
        <f>'CC &amp; HOH'!$AA$13</f>
        <v>0.1</v>
      </c>
      <c r="N76" s="409" t="str">
        <f>'CC &amp; HOH'!$AB$13</f>
        <v>Note 2</v>
      </c>
    </row>
    <row r="77" spans="1:14" x14ac:dyDescent="0.35">
      <c r="A77" s="374" t="str">
        <f>'Summary (READ FIRST)'!$B$8</f>
        <v>Supplier 1</v>
      </c>
      <c r="B77" s="375" t="str">
        <f>'Summary (READ FIRST)'!$B$11</f>
        <v>English</v>
      </c>
      <c r="C77" s="375" t="s">
        <v>34</v>
      </c>
      <c r="D77" s="375" t="s">
        <v>24</v>
      </c>
      <c r="E77" s="375" t="s">
        <v>20</v>
      </c>
      <c r="F77" s="375" t="s">
        <v>21</v>
      </c>
      <c r="G77" s="383">
        <f>'CC &amp; HOH'!N13</f>
        <v>10</v>
      </c>
      <c r="H77" s="383">
        <f>'CC &amp; HOH'!O13</f>
        <v>6</v>
      </c>
      <c r="I77" s="383"/>
      <c r="J77" s="383">
        <f>'CC &amp; HOH'!$W$13</f>
        <v>0</v>
      </c>
      <c r="K77" s="383">
        <f>'CC &amp; HOH'!$X$13</f>
        <v>0.5</v>
      </c>
      <c r="L77" s="383" t="str">
        <f>'CC &amp; HOH'!$Z$13</f>
        <v>Workflow</v>
      </c>
      <c r="M77" s="408">
        <f>'CC &amp; HOH'!$AA$13</f>
        <v>0.1</v>
      </c>
      <c r="N77" s="409" t="str">
        <f>'CC &amp; HOH'!$AB$13</f>
        <v>Note 2</v>
      </c>
    </row>
    <row r="78" spans="1:14" x14ac:dyDescent="0.35">
      <c r="A78" s="374" t="str">
        <f>'Summary (READ FIRST)'!$B$8</f>
        <v>Supplier 1</v>
      </c>
      <c r="B78" s="375" t="str">
        <f>'Summary (READ FIRST)'!$B$11</f>
        <v>English</v>
      </c>
      <c r="C78" s="375" t="s">
        <v>34</v>
      </c>
      <c r="D78" s="375" t="s">
        <v>24</v>
      </c>
      <c r="E78" s="375" t="s">
        <v>20</v>
      </c>
      <c r="F78" s="375" t="s">
        <v>22</v>
      </c>
      <c r="G78" s="383">
        <f>'CC &amp; HOH'!Q13</f>
        <v>12</v>
      </c>
      <c r="H78" s="383">
        <f>'CC &amp; HOH'!R13</f>
        <v>9</v>
      </c>
      <c r="I78" s="383"/>
      <c r="J78" s="383">
        <f>'CC &amp; HOH'!$W$13</f>
        <v>0</v>
      </c>
      <c r="K78" s="383">
        <f>'CC &amp; HOH'!$X$13</f>
        <v>0.5</v>
      </c>
      <c r="L78" s="383" t="str">
        <f>'CC &amp; HOH'!$Z$13</f>
        <v>Workflow</v>
      </c>
      <c r="M78" s="408">
        <f>'CC &amp; HOH'!$AA$13</f>
        <v>0.1</v>
      </c>
      <c r="N78" s="409" t="str">
        <f>'CC &amp; HOH'!$AB$13</f>
        <v>Note 2</v>
      </c>
    </row>
    <row r="79" spans="1:14" x14ac:dyDescent="0.35">
      <c r="A79" s="376" t="str">
        <f>'Summary (READ FIRST)'!$B$8</f>
        <v>Supplier 1</v>
      </c>
      <c r="B79" s="377" t="str">
        <f>'Summary (READ FIRST)'!$B$11</f>
        <v>English</v>
      </c>
      <c r="C79" s="377" t="s">
        <v>34</v>
      </c>
      <c r="D79" s="377" t="s">
        <v>24</v>
      </c>
      <c r="E79" s="377" t="s">
        <v>20</v>
      </c>
      <c r="F79" s="377" t="s">
        <v>23</v>
      </c>
      <c r="G79" s="383">
        <f>'CC &amp; HOH'!T13</f>
        <v>8</v>
      </c>
      <c r="H79" s="383">
        <f>'CC &amp; HOH'!U13</f>
        <v>4</v>
      </c>
      <c r="I79" s="383"/>
      <c r="J79" s="383">
        <f>'CC &amp; HOH'!$W$13</f>
        <v>0</v>
      </c>
      <c r="K79" s="383">
        <f>'CC &amp; HOH'!$X$13</f>
        <v>0.5</v>
      </c>
      <c r="L79" s="383" t="str">
        <f>'CC &amp; HOH'!$Z$13</f>
        <v>Workflow</v>
      </c>
      <c r="M79" s="408">
        <f>'CC &amp; HOH'!$AA$13</f>
        <v>0.1</v>
      </c>
      <c r="N79" s="409" t="str">
        <f>'CC &amp; HOH'!$AB$13</f>
        <v>Note 2</v>
      </c>
    </row>
    <row r="80" spans="1:14" x14ac:dyDescent="0.35">
      <c r="A80" s="372" t="str">
        <f>'Summary (READ FIRST)'!$B$8</f>
        <v>Supplier 1</v>
      </c>
      <c r="B80" s="373" t="str">
        <f>'Summary (READ FIRST)'!$B$11</f>
        <v>English</v>
      </c>
      <c r="C80" s="373" t="s">
        <v>34</v>
      </c>
      <c r="D80" s="373" t="s">
        <v>25</v>
      </c>
      <c r="E80" s="373" t="s">
        <v>16</v>
      </c>
      <c r="F80" s="373" t="s">
        <v>17</v>
      </c>
      <c r="G80" s="383">
        <f>'CC &amp; HOH'!E14</f>
        <v>8</v>
      </c>
      <c r="H80" s="383">
        <f>'CC &amp; HOH'!F14</f>
        <v>3</v>
      </c>
      <c r="I80" s="383"/>
      <c r="J80" s="383">
        <f>'CC &amp; HOH'!$W$14</f>
        <v>1</v>
      </c>
      <c r="K80" s="383">
        <f>'CC &amp; HOH'!$X$14</f>
        <v>0.5</v>
      </c>
      <c r="L80" s="383">
        <f>'CC &amp; HOH'!$Z$14</f>
        <v>0</v>
      </c>
      <c r="M80" s="408">
        <f>'CC &amp; HOH'!$AA$14</f>
        <v>0.05</v>
      </c>
      <c r="N80" s="409" t="str">
        <f>'CC &amp; HOH'!$AB$14</f>
        <v>Note 2</v>
      </c>
    </row>
    <row r="81" spans="1:14" x14ac:dyDescent="0.35">
      <c r="A81" s="374" t="str">
        <f>'Summary (READ FIRST)'!$B$8</f>
        <v>Supplier 1</v>
      </c>
      <c r="B81" s="375" t="str">
        <f>'Summary (READ FIRST)'!$B$11</f>
        <v>English</v>
      </c>
      <c r="C81" s="375" t="s">
        <v>34</v>
      </c>
      <c r="D81" s="375" t="s">
        <v>25</v>
      </c>
      <c r="E81" s="375" t="s">
        <v>16</v>
      </c>
      <c r="F81" s="375" t="s">
        <v>18</v>
      </c>
      <c r="G81" s="383">
        <f>'CC &amp; HOH'!H14</f>
        <v>10</v>
      </c>
      <c r="H81" s="383">
        <f>'CC &amp; HOH'!I14</f>
        <v>4</v>
      </c>
      <c r="I81" s="383"/>
      <c r="J81" s="383">
        <f>'CC &amp; HOH'!$W$14</f>
        <v>1</v>
      </c>
      <c r="K81" s="383">
        <f>'CC &amp; HOH'!$X$14</f>
        <v>0.5</v>
      </c>
      <c r="L81" s="383">
        <f>'CC &amp; HOH'!$Z$14</f>
        <v>0</v>
      </c>
      <c r="M81" s="408">
        <f>'CC &amp; HOH'!$AA$14</f>
        <v>0.05</v>
      </c>
      <c r="N81" s="409" t="str">
        <f>'CC &amp; HOH'!$AB$14</f>
        <v>Note 2</v>
      </c>
    </row>
    <row r="82" spans="1:14" x14ac:dyDescent="0.35">
      <c r="A82" s="374" t="str">
        <f>'Summary (READ FIRST)'!$B$8</f>
        <v>Supplier 1</v>
      </c>
      <c r="B82" s="375" t="str">
        <f>'Summary (READ FIRST)'!$B$11</f>
        <v>English</v>
      </c>
      <c r="C82" s="375" t="s">
        <v>34</v>
      </c>
      <c r="D82" s="375" t="s">
        <v>25</v>
      </c>
      <c r="E82" s="375" t="s">
        <v>16</v>
      </c>
      <c r="F82" s="375" t="s">
        <v>19</v>
      </c>
      <c r="G82" s="383">
        <f>'CC &amp; HOH'!K14</f>
        <v>0</v>
      </c>
      <c r="H82" s="383">
        <f>'CC &amp; HOH'!L14</f>
        <v>6</v>
      </c>
      <c r="I82" s="383"/>
      <c r="J82" s="383">
        <f>'CC &amp; HOH'!$W$14</f>
        <v>1</v>
      </c>
      <c r="K82" s="383">
        <f>'CC &amp; HOH'!$X$14</f>
        <v>0.5</v>
      </c>
      <c r="L82" s="383">
        <f>'CC &amp; HOH'!$Z$14</f>
        <v>0</v>
      </c>
      <c r="M82" s="408">
        <f>'CC &amp; HOH'!$AA$14</f>
        <v>0.05</v>
      </c>
      <c r="N82" s="409" t="str">
        <f>'CC &amp; HOH'!$AB$14</f>
        <v>Note 2</v>
      </c>
    </row>
    <row r="83" spans="1:14" x14ac:dyDescent="0.35">
      <c r="A83" s="374" t="str">
        <f>'Summary (READ FIRST)'!$B$8</f>
        <v>Supplier 1</v>
      </c>
      <c r="B83" s="375" t="str">
        <f>'Summary (READ FIRST)'!$B$11</f>
        <v>English</v>
      </c>
      <c r="C83" s="375" t="s">
        <v>34</v>
      </c>
      <c r="D83" s="375" t="s">
        <v>25</v>
      </c>
      <c r="E83" s="375" t="s">
        <v>20</v>
      </c>
      <c r="F83" s="375" t="s">
        <v>21</v>
      </c>
      <c r="G83" s="383">
        <f>'CC &amp; HOH'!N14</f>
        <v>13</v>
      </c>
      <c r="H83" s="383">
        <f>'CC &amp; HOH'!O14</f>
        <v>10</v>
      </c>
      <c r="I83" s="383"/>
      <c r="J83" s="383">
        <f>'CC &amp; HOH'!$W$14</f>
        <v>1</v>
      </c>
      <c r="K83" s="383">
        <f>'CC &amp; HOH'!$X$14</f>
        <v>0.5</v>
      </c>
      <c r="L83" s="383">
        <f>'CC &amp; HOH'!$Z$14</f>
        <v>0</v>
      </c>
      <c r="M83" s="408">
        <f>'CC &amp; HOH'!$AA$14</f>
        <v>0.05</v>
      </c>
      <c r="N83" s="409" t="str">
        <f>'CC &amp; HOH'!$AB$14</f>
        <v>Note 2</v>
      </c>
    </row>
    <row r="84" spans="1:14" x14ac:dyDescent="0.35">
      <c r="A84" s="374" t="str">
        <f>'Summary (READ FIRST)'!$B$8</f>
        <v>Supplier 1</v>
      </c>
      <c r="B84" s="375" t="str">
        <f>'Summary (READ FIRST)'!$B$11</f>
        <v>English</v>
      </c>
      <c r="C84" s="375" t="s">
        <v>34</v>
      </c>
      <c r="D84" s="375" t="s">
        <v>25</v>
      </c>
      <c r="E84" s="375" t="s">
        <v>20</v>
      </c>
      <c r="F84" s="375" t="s">
        <v>22</v>
      </c>
      <c r="G84" s="383">
        <f>'CC &amp; HOH'!Q14</f>
        <v>7</v>
      </c>
      <c r="H84" s="383">
        <f>'CC &amp; HOH'!R14</f>
        <v>0</v>
      </c>
      <c r="I84" s="383"/>
      <c r="J84" s="383">
        <f>'CC &amp; HOH'!$W$14</f>
        <v>1</v>
      </c>
      <c r="K84" s="383">
        <f>'CC &amp; HOH'!$X$14</f>
        <v>0.5</v>
      </c>
      <c r="L84" s="383">
        <f>'CC &amp; HOH'!$Z$14</f>
        <v>0</v>
      </c>
      <c r="M84" s="408">
        <f>'CC &amp; HOH'!$AA$14</f>
        <v>0.05</v>
      </c>
      <c r="N84" s="409" t="str">
        <f>'CC &amp; HOH'!$AB$14</f>
        <v>Note 2</v>
      </c>
    </row>
    <row r="85" spans="1:14" x14ac:dyDescent="0.35">
      <c r="A85" s="376" t="str">
        <f>'Summary (READ FIRST)'!$B$8</f>
        <v>Supplier 1</v>
      </c>
      <c r="B85" s="377" t="str">
        <f>'Summary (READ FIRST)'!$B$11</f>
        <v>English</v>
      </c>
      <c r="C85" s="377" t="s">
        <v>34</v>
      </c>
      <c r="D85" s="375" t="s">
        <v>25</v>
      </c>
      <c r="E85" s="377" t="s">
        <v>20</v>
      </c>
      <c r="F85" s="377" t="s">
        <v>23</v>
      </c>
      <c r="G85" s="383">
        <f>'CC &amp; HOH'!T14</f>
        <v>0</v>
      </c>
      <c r="H85" s="383">
        <f>'CC &amp; HOH'!U14</f>
        <v>8</v>
      </c>
      <c r="I85" s="383"/>
      <c r="J85" s="383">
        <f>'CC &amp; HOH'!$W$14</f>
        <v>1</v>
      </c>
      <c r="K85" s="383">
        <f>'CC &amp; HOH'!$X$14</f>
        <v>0.5</v>
      </c>
      <c r="L85" s="383">
        <f>'CC &amp; HOH'!$Z$14</f>
        <v>0</v>
      </c>
      <c r="M85" s="408">
        <f>'CC &amp; HOH'!$AA$14</f>
        <v>0.05</v>
      </c>
      <c r="N85" s="409" t="str">
        <f>'CC &amp; HOH'!$AB$14</f>
        <v>Note 2</v>
      </c>
    </row>
    <row r="86" spans="1:14" x14ac:dyDescent="0.35">
      <c r="A86" s="372" t="str">
        <f>'Summary (READ FIRST)'!$B$8</f>
        <v>Supplier 1</v>
      </c>
      <c r="B86" s="373" t="str">
        <f>'Summary (READ FIRST)'!$B$11</f>
        <v>English</v>
      </c>
      <c r="C86" s="373" t="s">
        <v>34</v>
      </c>
      <c r="D86" s="373" t="s">
        <v>26</v>
      </c>
      <c r="E86" s="373" t="s">
        <v>16</v>
      </c>
      <c r="F86" s="373" t="s">
        <v>17</v>
      </c>
      <c r="G86" s="383">
        <f>'CC &amp; HOH'!E15</f>
        <v>15</v>
      </c>
      <c r="H86" s="383">
        <f>'CC &amp; HOH'!F15</f>
        <v>10</v>
      </c>
      <c r="I86" s="383"/>
      <c r="J86" s="383">
        <f>'CC &amp; HOH'!$W$15</f>
        <v>1</v>
      </c>
      <c r="K86" s="383">
        <f>'CC &amp; HOH'!$X$15</f>
        <v>0.5</v>
      </c>
      <c r="L86" s="383" t="str">
        <f>'CC &amp; HOH'!$Z$15</f>
        <v>Tools</v>
      </c>
      <c r="M86" s="408">
        <f>'CC &amp; HOH'!$AA$15</f>
        <v>0</v>
      </c>
      <c r="N86" s="409">
        <f>'CC &amp; HOH'!$AB$15</f>
        <v>0</v>
      </c>
    </row>
    <row r="87" spans="1:14" x14ac:dyDescent="0.35">
      <c r="A87" s="374" t="str">
        <f>'Summary (READ FIRST)'!$B$8</f>
        <v>Supplier 1</v>
      </c>
      <c r="B87" s="375" t="str">
        <f>'Summary (READ FIRST)'!$B$11</f>
        <v>English</v>
      </c>
      <c r="C87" s="375" t="s">
        <v>34</v>
      </c>
      <c r="D87" s="375" t="s">
        <v>26</v>
      </c>
      <c r="E87" s="375" t="s">
        <v>16</v>
      </c>
      <c r="F87" s="375" t="s">
        <v>18</v>
      </c>
      <c r="G87" s="383">
        <f>'CC &amp; HOH'!H15</f>
        <v>9</v>
      </c>
      <c r="H87" s="383">
        <f>'CC &amp; HOH'!I15</f>
        <v>7</v>
      </c>
      <c r="I87" s="383"/>
      <c r="J87" s="383">
        <f>'CC &amp; HOH'!$W$15</f>
        <v>1</v>
      </c>
      <c r="K87" s="383">
        <f>'CC &amp; HOH'!$X$15</f>
        <v>0.5</v>
      </c>
      <c r="L87" s="383" t="str">
        <f>'CC &amp; HOH'!$Z$15</f>
        <v>Tools</v>
      </c>
      <c r="M87" s="408">
        <f>'CC &amp; HOH'!$AA$15</f>
        <v>0</v>
      </c>
      <c r="N87" s="409">
        <f>'CC &amp; HOH'!$AB$15</f>
        <v>0</v>
      </c>
    </row>
    <row r="88" spans="1:14" x14ac:dyDescent="0.35">
      <c r="A88" s="374" t="str">
        <f>'Summary (READ FIRST)'!$B$8</f>
        <v>Supplier 1</v>
      </c>
      <c r="B88" s="375" t="str">
        <f>'Summary (READ FIRST)'!$B$11</f>
        <v>English</v>
      </c>
      <c r="C88" s="375" t="s">
        <v>34</v>
      </c>
      <c r="D88" s="375" t="s">
        <v>26</v>
      </c>
      <c r="E88" s="375" t="s">
        <v>16</v>
      </c>
      <c r="F88" s="375" t="s">
        <v>19</v>
      </c>
      <c r="G88" s="383">
        <f>'CC &amp; HOH'!K15</f>
        <v>8</v>
      </c>
      <c r="H88" s="383">
        <f>'CC &amp; HOH'!L15</f>
        <v>7</v>
      </c>
      <c r="I88" s="383"/>
      <c r="J88" s="383">
        <f>'CC &amp; HOH'!$W$15</f>
        <v>1</v>
      </c>
      <c r="K88" s="383">
        <f>'CC &amp; HOH'!$X$15</f>
        <v>0.5</v>
      </c>
      <c r="L88" s="383" t="str">
        <f>'CC &amp; HOH'!$Z$15</f>
        <v>Tools</v>
      </c>
      <c r="M88" s="408">
        <f>'CC &amp; HOH'!$AA$15</f>
        <v>0</v>
      </c>
      <c r="N88" s="409">
        <f>'CC &amp; HOH'!$AB$15</f>
        <v>0</v>
      </c>
    </row>
    <row r="89" spans="1:14" x14ac:dyDescent="0.35">
      <c r="A89" s="374" t="str">
        <f>'Summary (READ FIRST)'!$B$8</f>
        <v>Supplier 1</v>
      </c>
      <c r="B89" s="375" t="str">
        <f>'Summary (READ FIRST)'!$B$11</f>
        <v>English</v>
      </c>
      <c r="C89" s="375" t="s">
        <v>34</v>
      </c>
      <c r="D89" s="375" t="s">
        <v>26</v>
      </c>
      <c r="E89" s="375" t="s">
        <v>20</v>
      </c>
      <c r="F89" s="375" t="s">
        <v>21</v>
      </c>
      <c r="G89" s="383">
        <f>'CC &amp; HOH'!N15</f>
        <v>0</v>
      </c>
      <c r="H89" s="383">
        <f>'CC &amp; HOH'!O15</f>
        <v>8</v>
      </c>
      <c r="I89" s="383"/>
      <c r="J89" s="383">
        <f>'CC &amp; HOH'!$W$15</f>
        <v>1</v>
      </c>
      <c r="K89" s="383">
        <f>'CC &amp; HOH'!$X$15</f>
        <v>0.5</v>
      </c>
      <c r="L89" s="383" t="str">
        <f>'CC &amp; HOH'!$Z$15</f>
        <v>Tools</v>
      </c>
      <c r="M89" s="408">
        <f>'CC &amp; HOH'!$AA$15</f>
        <v>0</v>
      </c>
      <c r="N89" s="409">
        <f>'CC &amp; HOH'!$AB$15</f>
        <v>0</v>
      </c>
    </row>
    <row r="90" spans="1:14" x14ac:dyDescent="0.35">
      <c r="A90" s="374" t="str">
        <f>'Summary (READ FIRST)'!$B$8</f>
        <v>Supplier 1</v>
      </c>
      <c r="B90" s="375" t="str">
        <f>'Summary (READ FIRST)'!$B$11</f>
        <v>English</v>
      </c>
      <c r="C90" s="375" t="s">
        <v>34</v>
      </c>
      <c r="D90" s="375" t="s">
        <v>26</v>
      </c>
      <c r="E90" s="375" t="s">
        <v>20</v>
      </c>
      <c r="F90" s="375" t="s">
        <v>22</v>
      </c>
      <c r="G90" s="383">
        <f>'CC &amp; HOH'!Q15</f>
        <v>9</v>
      </c>
      <c r="H90" s="383">
        <f>'CC &amp; HOH'!R15</f>
        <v>5</v>
      </c>
      <c r="I90" s="383"/>
      <c r="J90" s="383">
        <f>'CC &amp; HOH'!$W$15</f>
        <v>1</v>
      </c>
      <c r="K90" s="383">
        <f>'CC &amp; HOH'!$X$15</f>
        <v>0.5</v>
      </c>
      <c r="L90" s="383" t="str">
        <f>'CC &amp; HOH'!$Z$15</f>
        <v>Tools</v>
      </c>
      <c r="M90" s="408">
        <f>'CC &amp; HOH'!$AA$15</f>
        <v>0</v>
      </c>
      <c r="N90" s="409">
        <f>'CC &amp; HOH'!$AB$15</f>
        <v>0</v>
      </c>
    </row>
    <row r="91" spans="1:14" x14ac:dyDescent="0.35">
      <c r="A91" s="376" t="str">
        <f>'Summary (READ FIRST)'!$B$8</f>
        <v>Supplier 1</v>
      </c>
      <c r="B91" s="377" t="str">
        <f>'Summary (READ FIRST)'!$B$11</f>
        <v>English</v>
      </c>
      <c r="C91" s="377" t="s">
        <v>34</v>
      </c>
      <c r="D91" s="377" t="s">
        <v>26</v>
      </c>
      <c r="E91" s="377" t="s">
        <v>20</v>
      </c>
      <c r="F91" s="377" t="s">
        <v>23</v>
      </c>
      <c r="G91" s="383">
        <f>'CC &amp; HOH'!T15</f>
        <v>8</v>
      </c>
      <c r="H91" s="383">
        <f>'CC &amp; HOH'!U15</f>
        <v>6</v>
      </c>
      <c r="I91" s="383"/>
      <c r="J91" s="383">
        <f>'CC &amp; HOH'!$W$15</f>
        <v>1</v>
      </c>
      <c r="K91" s="383">
        <f>'CC &amp; HOH'!$X$15</f>
        <v>0.5</v>
      </c>
      <c r="L91" s="383" t="str">
        <f>'CC &amp; HOH'!$Z$15</f>
        <v>Tools</v>
      </c>
      <c r="M91" s="408">
        <f>'CC &amp; HOH'!$AA$15</f>
        <v>0</v>
      </c>
      <c r="N91" s="409">
        <f>'CC &amp; HOH'!$AB$15</f>
        <v>0</v>
      </c>
    </row>
    <row r="92" spans="1:14" x14ac:dyDescent="0.35">
      <c r="A92" s="372" t="str">
        <f>'Summary (READ FIRST)'!$B$8</f>
        <v>Supplier 1</v>
      </c>
      <c r="B92" s="373" t="str">
        <f>'Summary (READ FIRST)'!$B$11</f>
        <v>English</v>
      </c>
      <c r="C92" s="373" t="s">
        <v>34</v>
      </c>
      <c r="D92" s="373" t="s">
        <v>27</v>
      </c>
      <c r="E92" s="373" t="s">
        <v>16</v>
      </c>
      <c r="F92" s="373" t="s">
        <v>17</v>
      </c>
      <c r="G92" s="383">
        <f>'CC &amp; HOH'!E16</f>
        <v>14</v>
      </c>
      <c r="H92" s="383">
        <f>'CC &amp; HOH'!F16</f>
        <v>9</v>
      </c>
      <c r="I92" s="383"/>
      <c r="J92" s="383">
        <f>'CC &amp; HOH'!$W$16</f>
        <v>1</v>
      </c>
      <c r="K92" s="383">
        <f>'CC &amp; HOH'!$X$16</f>
        <v>0</v>
      </c>
      <c r="L92" s="383" t="str">
        <f>'CC &amp; HOH'!$Z$16</f>
        <v>Automated system</v>
      </c>
      <c r="M92" s="408">
        <f>'CC &amp; HOH'!$AA$16</f>
        <v>0.1</v>
      </c>
      <c r="N92" s="409" t="str">
        <f>'CC &amp; HOH'!$AB$16</f>
        <v>Note 2</v>
      </c>
    </row>
    <row r="93" spans="1:14" x14ac:dyDescent="0.35">
      <c r="A93" s="374" t="str">
        <f>'Summary (READ FIRST)'!$B$8</f>
        <v>Supplier 1</v>
      </c>
      <c r="B93" s="375" t="str">
        <f>'Summary (READ FIRST)'!$B$11</f>
        <v>English</v>
      </c>
      <c r="C93" s="375" t="s">
        <v>34</v>
      </c>
      <c r="D93" s="375" t="s">
        <v>27</v>
      </c>
      <c r="E93" s="375" t="s">
        <v>16</v>
      </c>
      <c r="F93" s="375" t="s">
        <v>18</v>
      </c>
      <c r="G93" s="383">
        <f>'CC &amp; HOH'!H16</f>
        <v>0</v>
      </c>
      <c r="H93" s="383">
        <f>'CC &amp; HOH'!I16</f>
        <v>7</v>
      </c>
      <c r="I93" s="383"/>
      <c r="J93" s="383">
        <f>'CC &amp; HOH'!$W$16</f>
        <v>1</v>
      </c>
      <c r="K93" s="383">
        <f>'CC &amp; HOH'!$X$16</f>
        <v>0</v>
      </c>
      <c r="L93" s="383" t="str">
        <f>'CC &amp; HOH'!$Z$16</f>
        <v>Automated system</v>
      </c>
      <c r="M93" s="408">
        <f>'CC &amp; HOH'!$AA$16</f>
        <v>0.1</v>
      </c>
      <c r="N93" s="409" t="str">
        <f>'CC &amp; HOH'!$AB$16</f>
        <v>Note 2</v>
      </c>
    </row>
    <row r="94" spans="1:14" x14ac:dyDescent="0.35">
      <c r="A94" s="374" t="str">
        <f>'Summary (READ FIRST)'!$B$8</f>
        <v>Supplier 1</v>
      </c>
      <c r="B94" s="375" t="str">
        <f>'Summary (READ FIRST)'!$B$11</f>
        <v>English</v>
      </c>
      <c r="C94" s="375" t="s">
        <v>34</v>
      </c>
      <c r="D94" s="375" t="s">
        <v>27</v>
      </c>
      <c r="E94" s="375" t="s">
        <v>16</v>
      </c>
      <c r="F94" s="375" t="s">
        <v>19</v>
      </c>
      <c r="G94" s="383">
        <f>'CC &amp; HOH'!K16</f>
        <v>9</v>
      </c>
      <c r="H94" s="383">
        <f>'CC &amp; HOH'!L16</f>
        <v>4</v>
      </c>
      <c r="I94" s="383"/>
      <c r="J94" s="383">
        <f>'CC &amp; HOH'!$W$16</f>
        <v>1</v>
      </c>
      <c r="K94" s="383">
        <f>'CC &amp; HOH'!$X$16</f>
        <v>0</v>
      </c>
      <c r="L94" s="383" t="str">
        <f>'CC &amp; HOH'!$Z$16</f>
        <v>Automated system</v>
      </c>
      <c r="M94" s="408">
        <f>'CC &amp; HOH'!$AA$16</f>
        <v>0.1</v>
      </c>
      <c r="N94" s="409" t="str">
        <f>'CC &amp; HOH'!$AB$16</f>
        <v>Note 2</v>
      </c>
    </row>
    <row r="95" spans="1:14" x14ac:dyDescent="0.35">
      <c r="A95" s="374" t="str">
        <f>'Summary (READ FIRST)'!$B$8</f>
        <v>Supplier 1</v>
      </c>
      <c r="B95" s="375" t="str">
        <f>'Summary (READ FIRST)'!$B$11</f>
        <v>English</v>
      </c>
      <c r="C95" s="375" t="s">
        <v>34</v>
      </c>
      <c r="D95" s="375" t="s">
        <v>27</v>
      </c>
      <c r="E95" s="375" t="s">
        <v>20</v>
      </c>
      <c r="F95" s="375" t="s">
        <v>21</v>
      </c>
      <c r="G95" s="383">
        <f>'CC &amp; HOH'!N16</f>
        <v>11</v>
      </c>
      <c r="H95" s="383">
        <f>'CC &amp; HOH'!O16</f>
        <v>7</v>
      </c>
      <c r="I95" s="383"/>
      <c r="J95" s="383">
        <f>'CC &amp; HOH'!$W$16</f>
        <v>1</v>
      </c>
      <c r="K95" s="383">
        <f>'CC &amp; HOH'!$X$16</f>
        <v>0</v>
      </c>
      <c r="L95" s="383" t="str">
        <f>'CC &amp; HOH'!$Z$16</f>
        <v>Automated system</v>
      </c>
      <c r="M95" s="408">
        <f>'CC &amp; HOH'!$AA$16</f>
        <v>0.1</v>
      </c>
      <c r="N95" s="409" t="str">
        <f>'CC &amp; HOH'!$AB$16</f>
        <v>Note 2</v>
      </c>
    </row>
    <row r="96" spans="1:14" x14ac:dyDescent="0.35">
      <c r="A96" s="374" t="str">
        <f>'Summary (READ FIRST)'!$B$8</f>
        <v>Supplier 1</v>
      </c>
      <c r="B96" s="375" t="str">
        <f>'Summary (READ FIRST)'!$B$11</f>
        <v>English</v>
      </c>
      <c r="C96" s="375" t="s">
        <v>34</v>
      </c>
      <c r="D96" s="375" t="s">
        <v>27</v>
      </c>
      <c r="E96" s="375" t="s">
        <v>20</v>
      </c>
      <c r="F96" s="375" t="s">
        <v>22</v>
      </c>
      <c r="G96" s="383">
        <f>'CC &amp; HOH'!Q16</f>
        <v>6</v>
      </c>
      <c r="H96" s="383">
        <f>'CC &amp; HOH'!R16</f>
        <v>3</v>
      </c>
      <c r="I96" s="383"/>
      <c r="J96" s="383">
        <f>'CC &amp; HOH'!$W$16</f>
        <v>1</v>
      </c>
      <c r="K96" s="383">
        <f>'CC &amp; HOH'!$X$16</f>
        <v>0</v>
      </c>
      <c r="L96" s="383" t="str">
        <f>'CC &amp; HOH'!$Z$16</f>
        <v>Automated system</v>
      </c>
      <c r="M96" s="408">
        <f>'CC &amp; HOH'!$AA$16</f>
        <v>0.1</v>
      </c>
      <c r="N96" s="409" t="str">
        <f>'CC &amp; HOH'!$AB$16</f>
        <v>Note 2</v>
      </c>
    </row>
    <row r="97" spans="1:14" x14ac:dyDescent="0.35">
      <c r="A97" s="376" t="str">
        <f>'Summary (READ FIRST)'!$B$8</f>
        <v>Supplier 1</v>
      </c>
      <c r="B97" s="377" t="str">
        <f>'Summary (READ FIRST)'!$B$11</f>
        <v>English</v>
      </c>
      <c r="C97" s="377" t="s">
        <v>34</v>
      </c>
      <c r="D97" s="375" t="s">
        <v>27</v>
      </c>
      <c r="E97" s="377" t="s">
        <v>20</v>
      </c>
      <c r="F97" s="377" t="s">
        <v>23</v>
      </c>
      <c r="G97" s="383">
        <f>'CC &amp; HOH'!T16</f>
        <v>9</v>
      </c>
      <c r="H97" s="383">
        <f>'CC &amp; HOH'!U16</f>
        <v>7</v>
      </c>
      <c r="I97" s="383"/>
      <c r="J97" s="383">
        <f>'CC &amp; HOH'!$W$16</f>
        <v>1</v>
      </c>
      <c r="K97" s="383">
        <f>'CC &amp; HOH'!$X$16</f>
        <v>0</v>
      </c>
      <c r="L97" s="383" t="str">
        <f>'CC &amp; HOH'!$Z$16</f>
        <v>Automated system</v>
      </c>
      <c r="M97" s="408">
        <f>'CC &amp; HOH'!$AA$16</f>
        <v>0.1</v>
      </c>
      <c r="N97" s="409" t="str">
        <f>'CC &amp; HOH'!$AB$16</f>
        <v>Note 2</v>
      </c>
    </row>
    <row r="98" spans="1:14" x14ac:dyDescent="0.35">
      <c r="A98" s="372" t="str">
        <f>'Summary (READ FIRST)'!$B$8</f>
        <v>Supplier 1</v>
      </c>
      <c r="B98" s="373" t="str">
        <f>'Summary (READ FIRST)'!$B$11</f>
        <v>English</v>
      </c>
      <c r="C98" s="373" t="s">
        <v>34</v>
      </c>
      <c r="D98" s="373" t="s">
        <v>28</v>
      </c>
      <c r="E98" s="373" t="s">
        <v>16</v>
      </c>
      <c r="F98" s="373" t="s">
        <v>17</v>
      </c>
      <c r="G98" s="383">
        <f>'CC &amp; HOH'!E17</f>
        <v>0</v>
      </c>
      <c r="H98" s="383">
        <f>'CC &amp; HOH'!F17</f>
        <v>4</v>
      </c>
      <c r="I98" s="383"/>
      <c r="J98" s="383">
        <f>'CC &amp; HOH'!$W$17</f>
        <v>1</v>
      </c>
      <c r="K98" s="383">
        <f>'CC &amp; HOH'!$X$17</f>
        <v>0.5</v>
      </c>
      <c r="L98" s="383" t="str">
        <f>'CC &amp; HOH'!$Z$17</f>
        <v>Workflow</v>
      </c>
      <c r="M98" s="408">
        <f>'CC &amp; HOH'!$AA$17</f>
        <v>0.1</v>
      </c>
      <c r="N98" s="409" t="str">
        <f>'CC &amp; HOH'!$AB$17</f>
        <v>Note 2</v>
      </c>
    </row>
    <row r="99" spans="1:14" x14ac:dyDescent="0.35">
      <c r="A99" s="374" t="str">
        <f>'Summary (READ FIRST)'!$B$8</f>
        <v>Supplier 1</v>
      </c>
      <c r="B99" s="375" t="str">
        <f>'Summary (READ FIRST)'!$B$11</f>
        <v>English</v>
      </c>
      <c r="C99" s="375" t="s">
        <v>34</v>
      </c>
      <c r="D99" s="375" t="s">
        <v>28</v>
      </c>
      <c r="E99" s="375" t="s">
        <v>16</v>
      </c>
      <c r="F99" s="375" t="s">
        <v>18</v>
      </c>
      <c r="G99" s="383">
        <f>'CC &amp; HOH'!H17</f>
        <v>11</v>
      </c>
      <c r="H99" s="383">
        <f>'CC &amp; HOH'!I17</f>
        <v>6</v>
      </c>
      <c r="I99" s="383"/>
      <c r="J99" s="383">
        <f>'CC &amp; HOH'!$W$17</f>
        <v>1</v>
      </c>
      <c r="K99" s="383">
        <f>'CC &amp; HOH'!$X$17</f>
        <v>0.5</v>
      </c>
      <c r="L99" s="383" t="str">
        <f>'CC &amp; HOH'!$Z$17</f>
        <v>Workflow</v>
      </c>
      <c r="M99" s="408">
        <f>'CC &amp; HOH'!$AA$17</f>
        <v>0.1</v>
      </c>
      <c r="N99" s="409" t="str">
        <f>'CC &amp; HOH'!$AB$17</f>
        <v>Note 2</v>
      </c>
    </row>
    <row r="100" spans="1:14" x14ac:dyDescent="0.35">
      <c r="A100" s="374" t="str">
        <f>'Summary (READ FIRST)'!$B$8</f>
        <v>Supplier 1</v>
      </c>
      <c r="B100" s="375" t="str">
        <f>'Summary (READ FIRST)'!$B$11</f>
        <v>English</v>
      </c>
      <c r="C100" s="375" t="s">
        <v>34</v>
      </c>
      <c r="D100" s="375" t="s">
        <v>28</v>
      </c>
      <c r="E100" s="375" t="s">
        <v>16</v>
      </c>
      <c r="F100" s="375" t="s">
        <v>19</v>
      </c>
      <c r="G100" s="383">
        <f>'CC &amp; HOH'!K17</f>
        <v>9</v>
      </c>
      <c r="H100" s="383">
        <f>'CC &amp; HOH'!L17</f>
        <v>6</v>
      </c>
      <c r="I100" s="383"/>
      <c r="J100" s="383">
        <f>'CC &amp; HOH'!$W$17</f>
        <v>1</v>
      </c>
      <c r="K100" s="383">
        <f>'CC &amp; HOH'!$X$17</f>
        <v>0.5</v>
      </c>
      <c r="L100" s="383" t="str">
        <f>'CC &amp; HOH'!$Z$17</f>
        <v>Workflow</v>
      </c>
      <c r="M100" s="408">
        <f>'CC &amp; HOH'!$AA$17</f>
        <v>0.1</v>
      </c>
      <c r="N100" s="409" t="str">
        <f>'CC &amp; HOH'!$AB$17</f>
        <v>Note 2</v>
      </c>
    </row>
    <row r="101" spans="1:14" x14ac:dyDescent="0.35">
      <c r="A101" s="374" t="str">
        <f>'Summary (READ FIRST)'!$B$8</f>
        <v>Supplier 1</v>
      </c>
      <c r="B101" s="375" t="str">
        <f>'Summary (READ FIRST)'!$B$11</f>
        <v>English</v>
      </c>
      <c r="C101" s="375" t="s">
        <v>34</v>
      </c>
      <c r="D101" s="375" t="s">
        <v>28</v>
      </c>
      <c r="E101" s="375" t="s">
        <v>20</v>
      </c>
      <c r="F101" s="375" t="s">
        <v>21</v>
      </c>
      <c r="G101" s="383">
        <f>'CC &amp; HOH'!N17</f>
        <v>9</v>
      </c>
      <c r="H101" s="383">
        <f>'CC &amp; HOH'!O17</f>
        <v>7</v>
      </c>
      <c r="I101" s="383"/>
      <c r="J101" s="383">
        <f>'CC &amp; HOH'!$W$17</f>
        <v>1</v>
      </c>
      <c r="K101" s="383">
        <f>'CC &amp; HOH'!$X$17</f>
        <v>0.5</v>
      </c>
      <c r="L101" s="383" t="str">
        <f>'CC &amp; HOH'!$Z$17</f>
        <v>Workflow</v>
      </c>
      <c r="M101" s="408">
        <f>'CC &amp; HOH'!$AA$17</f>
        <v>0.1</v>
      </c>
      <c r="N101" s="409" t="str">
        <f>'CC &amp; HOH'!$AB$17</f>
        <v>Note 2</v>
      </c>
    </row>
    <row r="102" spans="1:14" x14ac:dyDescent="0.35">
      <c r="A102" s="374" t="str">
        <f>'Summary (READ FIRST)'!$B$8</f>
        <v>Supplier 1</v>
      </c>
      <c r="B102" s="375" t="str">
        <f>'Summary (READ FIRST)'!$B$11</f>
        <v>English</v>
      </c>
      <c r="C102" s="375" t="s">
        <v>34</v>
      </c>
      <c r="D102" s="375" t="s">
        <v>28</v>
      </c>
      <c r="E102" s="375" t="s">
        <v>20</v>
      </c>
      <c r="F102" s="375" t="s">
        <v>22</v>
      </c>
      <c r="G102" s="383">
        <f>'CC &amp; HOH'!Q17</f>
        <v>8</v>
      </c>
      <c r="H102" s="383">
        <f>'CC &amp; HOH'!R17</f>
        <v>5</v>
      </c>
      <c r="I102" s="383"/>
      <c r="J102" s="383">
        <f>'CC &amp; HOH'!$W$17</f>
        <v>1</v>
      </c>
      <c r="K102" s="383">
        <f>'CC &amp; HOH'!$X$17</f>
        <v>0.5</v>
      </c>
      <c r="L102" s="383" t="str">
        <f>'CC &amp; HOH'!$Z$17</f>
        <v>Workflow</v>
      </c>
      <c r="M102" s="408">
        <f>'CC &amp; HOH'!$AA$17</f>
        <v>0.1</v>
      </c>
      <c r="N102" s="409" t="str">
        <f>'CC &amp; HOH'!$AB$17</f>
        <v>Note 2</v>
      </c>
    </row>
    <row r="103" spans="1:14" x14ac:dyDescent="0.35">
      <c r="A103" s="376" t="str">
        <f>'Summary (READ FIRST)'!$B$8</f>
        <v>Supplier 1</v>
      </c>
      <c r="B103" s="377" t="str">
        <f>'Summary (READ FIRST)'!$B$11</f>
        <v>English</v>
      </c>
      <c r="C103" s="377" t="s">
        <v>34</v>
      </c>
      <c r="D103" s="375" t="s">
        <v>28</v>
      </c>
      <c r="E103" s="377" t="s">
        <v>20</v>
      </c>
      <c r="F103" s="377" t="s">
        <v>23</v>
      </c>
      <c r="G103" s="383">
        <f>'CC &amp; HOH'!T17</f>
        <v>9</v>
      </c>
      <c r="H103" s="383">
        <f>'CC &amp; HOH'!U17</f>
        <v>0</v>
      </c>
      <c r="I103" s="383"/>
      <c r="J103" s="383">
        <f>'CC &amp; HOH'!$W$17</f>
        <v>1</v>
      </c>
      <c r="K103" s="383">
        <f>'CC &amp; HOH'!$X$17</f>
        <v>0.5</v>
      </c>
      <c r="L103" s="383" t="str">
        <f>'CC &amp; HOH'!$Z$17</f>
        <v>Workflow</v>
      </c>
      <c r="M103" s="408">
        <f>'CC &amp; HOH'!$AA$17</f>
        <v>0.1</v>
      </c>
      <c r="N103" s="409" t="str">
        <f>'CC &amp; HOH'!$AB$17</f>
        <v>Note 2</v>
      </c>
    </row>
    <row r="104" spans="1:14" x14ac:dyDescent="0.35">
      <c r="A104" s="372" t="str">
        <f>'Summary (READ FIRST)'!$B$8</f>
        <v>Supplier 1</v>
      </c>
      <c r="B104" s="373" t="str">
        <f>'Summary (READ FIRST)'!$B$11</f>
        <v>English</v>
      </c>
      <c r="C104" s="373" t="s">
        <v>34</v>
      </c>
      <c r="D104" s="373" t="s">
        <v>29</v>
      </c>
      <c r="E104" s="373" t="s">
        <v>16</v>
      </c>
      <c r="F104" s="373" t="s">
        <v>17</v>
      </c>
      <c r="G104" s="383">
        <f>'CC &amp; HOH'!E18</f>
        <v>9</v>
      </c>
      <c r="H104" s="383">
        <f>'CC &amp; HOH'!F18</f>
        <v>8</v>
      </c>
      <c r="I104" s="383"/>
      <c r="J104" s="383">
        <f>'CC &amp; HOH'!$W$18</f>
        <v>1</v>
      </c>
      <c r="K104" s="383">
        <f>'CC &amp; HOH'!$X$18</f>
        <v>0.5</v>
      </c>
      <c r="L104" s="383" t="str">
        <f>'CC &amp; HOH'!$Z$18</f>
        <v>Workflow</v>
      </c>
      <c r="M104" s="408">
        <f>'CC &amp; HOH'!$AA$18</f>
        <v>0</v>
      </c>
      <c r="N104" s="409" t="str">
        <f>'CC &amp; HOH'!$AB$18</f>
        <v>Note 2</v>
      </c>
    </row>
    <row r="105" spans="1:14" x14ac:dyDescent="0.35">
      <c r="A105" s="374" t="str">
        <f>'Summary (READ FIRST)'!$B$8</f>
        <v>Supplier 1</v>
      </c>
      <c r="B105" s="375" t="str">
        <f>'Summary (READ FIRST)'!$B$11</f>
        <v>English</v>
      </c>
      <c r="C105" s="375" t="s">
        <v>34</v>
      </c>
      <c r="D105" s="375" t="s">
        <v>29</v>
      </c>
      <c r="E105" s="375" t="s">
        <v>16</v>
      </c>
      <c r="F105" s="375" t="s">
        <v>18</v>
      </c>
      <c r="G105" s="383">
        <f>'CC &amp; HOH'!H18</f>
        <v>14</v>
      </c>
      <c r="H105" s="383">
        <f>'CC &amp; HOH'!I18</f>
        <v>3</v>
      </c>
      <c r="I105" s="383"/>
      <c r="J105" s="383">
        <f>'CC &amp; HOH'!$W$18</f>
        <v>1</v>
      </c>
      <c r="K105" s="383">
        <f>'CC &amp; HOH'!$X$18</f>
        <v>0.5</v>
      </c>
      <c r="L105" s="383" t="str">
        <f>'CC &amp; HOH'!$Z$18</f>
        <v>Workflow</v>
      </c>
      <c r="M105" s="408">
        <f>'CC &amp; HOH'!$AA$18</f>
        <v>0</v>
      </c>
      <c r="N105" s="409" t="str">
        <f>'CC &amp; HOH'!$AB$18</f>
        <v>Note 2</v>
      </c>
    </row>
    <row r="106" spans="1:14" x14ac:dyDescent="0.35">
      <c r="A106" s="374" t="str">
        <f>'Summary (READ FIRST)'!$B$8</f>
        <v>Supplier 1</v>
      </c>
      <c r="B106" s="375" t="str">
        <f>'Summary (READ FIRST)'!$B$11</f>
        <v>English</v>
      </c>
      <c r="C106" s="375" t="s">
        <v>34</v>
      </c>
      <c r="D106" s="375" t="s">
        <v>29</v>
      </c>
      <c r="E106" s="375" t="s">
        <v>16</v>
      </c>
      <c r="F106" s="375" t="s">
        <v>19</v>
      </c>
      <c r="G106" s="383">
        <f>'CC &amp; HOH'!K18</f>
        <v>10</v>
      </c>
      <c r="H106" s="383">
        <f>'CC &amp; HOH'!L18</f>
        <v>0</v>
      </c>
      <c r="I106" s="383"/>
      <c r="J106" s="383">
        <f>'CC &amp; HOH'!$W$18</f>
        <v>1</v>
      </c>
      <c r="K106" s="383">
        <f>'CC &amp; HOH'!$X$18</f>
        <v>0.5</v>
      </c>
      <c r="L106" s="383" t="str">
        <f>'CC &amp; HOH'!$Z$18</f>
        <v>Workflow</v>
      </c>
      <c r="M106" s="408">
        <f>'CC &amp; HOH'!$AA$18</f>
        <v>0</v>
      </c>
      <c r="N106" s="409" t="str">
        <f>'CC &amp; HOH'!$AB$18</f>
        <v>Note 2</v>
      </c>
    </row>
    <row r="107" spans="1:14" x14ac:dyDescent="0.35">
      <c r="A107" s="374" t="str">
        <f>'Summary (READ FIRST)'!$B$8</f>
        <v>Supplier 1</v>
      </c>
      <c r="B107" s="375" t="str">
        <f>'Summary (READ FIRST)'!$B$11</f>
        <v>English</v>
      </c>
      <c r="C107" s="375" t="s">
        <v>34</v>
      </c>
      <c r="D107" s="375" t="s">
        <v>29</v>
      </c>
      <c r="E107" s="375" t="s">
        <v>20</v>
      </c>
      <c r="F107" s="375" t="s">
        <v>21</v>
      </c>
      <c r="G107" s="383">
        <f>'CC &amp; HOH'!N18</f>
        <v>11</v>
      </c>
      <c r="H107" s="383">
        <f>'CC &amp; HOH'!O18</f>
        <v>0</v>
      </c>
      <c r="I107" s="383"/>
      <c r="J107" s="383">
        <f>'CC &amp; HOH'!$W$18</f>
        <v>1</v>
      </c>
      <c r="K107" s="383">
        <f>'CC &amp; HOH'!$X$18</f>
        <v>0.5</v>
      </c>
      <c r="L107" s="383" t="str">
        <f>'CC &amp; HOH'!$Z$18</f>
        <v>Workflow</v>
      </c>
      <c r="M107" s="408">
        <f>'CC &amp; HOH'!$AA$18</f>
        <v>0</v>
      </c>
      <c r="N107" s="409" t="str">
        <f>'CC &amp; HOH'!$AB$18</f>
        <v>Note 2</v>
      </c>
    </row>
    <row r="108" spans="1:14" x14ac:dyDescent="0.35">
      <c r="A108" s="374" t="str">
        <f>'Summary (READ FIRST)'!$B$8</f>
        <v>Supplier 1</v>
      </c>
      <c r="B108" s="375" t="str">
        <f>'Summary (READ FIRST)'!$B$11</f>
        <v>English</v>
      </c>
      <c r="C108" s="375" t="s">
        <v>34</v>
      </c>
      <c r="D108" s="375" t="s">
        <v>29</v>
      </c>
      <c r="E108" s="375" t="s">
        <v>20</v>
      </c>
      <c r="F108" s="375" t="s">
        <v>22</v>
      </c>
      <c r="G108" s="383">
        <f>'CC &amp; HOH'!Q18</f>
        <v>0</v>
      </c>
      <c r="H108" s="383">
        <f>'CC &amp; HOH'!R18</f>
        <v>10</v>
      </c>
      <c r="I108" s="383"/>
      <c r="J108" s="383">
        <f>'CC &amp; HOH'!$W$18</f>
        <v>1</v>
      </c>
      <c r="K108" s="383">
        <f>'CC &amp; HOH'!$X$18</f>
        <v>0.5</v>
      </c>
      <c r="L108" s="383" t="str">
        <f>'CC &amp; HOH'!$Z$18</f>
        <v>Workflow</v>
      </c>
      <c r="M108" s="408">
        <f>'CC &amp; HOH'!$AA$18</f>
        <v>0</v>
      </c>
      <c r="N108" s="409" t="str">
        <f>'CC &amp; HOH'!$AB$18</f>
        <v>Note 2</v>
      </c>
    </row>
    <row r="109" spans="1:14" x14ac:dyDescent="0.35">
      <c r="A109" s="376" t="str">
        <f>'Summary (READ FIRST)'!$B$8</f>
        <v>Supplier 1</v>
      </c>
      <c r="B109" s="377" t="str">
        <f>'Summary (READ FIRST)'!$B$11</f>
        <v>English</v>
      </c>
      <c r="C109" s="377" t="s">
        <v>34</v>
      </c>
      <c r="D109" s="375" t="s">
        <v>29</v>
      </c>
      <c r="E109" s="377" t="s">
        <v>20</v>
      </c>
      <c r="F109" s="377" t="s">
        <v>23</v>
      </c>
      <c r="G109" s="383">
        <f>'CC &amp; HOH'!T18</f>
        <v>5</v>
      </c>
      <c r="H109" s="383">
        <f>'CC &amp; HOH'!U18</f>
        <v>3</v>
      </c>
      <c r="I109" s="383"/>
      <c r="J109" s="383">
        <f>'CC &amp; HOH'!$W$18</f>
        <v>1</v>
      </c>
      <c r="K109" s="383">
        <f>'CC &amp; HOH'!$X$18</f>
        <v>0.5</v>
      </c>
      <c r="L109" s="383" t="str">
        <f>'CC &amp; HOH'!$Z$18</f>
        <v>Workflow</v>
      </c>
      <c r="M109" s="408">
        <f>'CC &amp; HOH'!$AA$18</f>
        <v>0</v>
      </c>
      <c r="N109" s="409" t="str">
        <f>'CC &amp; HOH'!$AB$18</f>
        <v>Note 2</v>
      </c>
    </row>
    <row r="110" spans="1:14" x14ac:dyDescent="0.35">
      <c r="A110" s="372" t="str">
        <f>'Summary (READ FIRST)'!$B$8</f>
        <v>Supplier 1</v>
      </c>
      <c r="B110" s="373" t="str">
        <f>'Summary (READ FIRST)'!$B$11</f>
        <v>English</v>
      </c>
      <c r="C110" s="373" t="s">
        <v>34</v>
      </c>
      <c r="D110" s="373" t="s">
        <v>30</v>
      </c>
      <c r="E110" s="373" t="s">
        <v>16</v>
      </c>
      <c r="F110" s="373" t="s">
        <v>17</v>
      </c>
      <c r="G110" s="383">
        <f>'CC &amp; HOH'!E19</f>
        <v>5</v>
      </c>
      <c r="H110" s="383">
        <f>'CC &amp; HOH'!F19</f>
        <v>3</v>
      </c>
      <c r="I110" s="383"/>
      <c r="J110" s="383">
        <f>'CC &amp; HOH'!$W$19</f>
        <v>1</v>
      </c>
      <c r="K110" s="383">
        <f>'CC &amp; HOH'!$X$19</f>
        <v>0.5</v>
      </c>
      <c r="L110" s="383">
        <f>'CC &amp; HOH'!$Z$19</f>
        <v>0</v>
      </c>
      <c r="M110" s="408">
        <f>'CC &amp; HOH'!$AA$19</f>
        <v>0.05</v>
      </c>
      <c r="N110" s="409">
        <f>'CC &amp; HOH'!$AB$19</f>
        <v>0</v>
      </c>
    </row>
    <row r="111" spans="1:14" x14ac:dyDescent="0.35">
      <c r="A111" s="374" t="str">
        <f>'Summary (READ FIRST)'!$B$8</f>
        <v>Supplier 1</v>
      </c>
      <c r="B111" s="375" t="str">
        <f>'Summary (READ FIRST)'!$B$11</f>
        <v>English</v>
      </c>
      <c r="C111" s="375" t="s">
        <v>34</v>
      </c>
      <c r="D111" s="375" t="s">
        <v>30</v>
      </c>
      <c r="E111" s="375" t="s">
        <v>16</v>
      </c>
      <c r="F111" s="375" t="s">
        <v>18</v>
      </c>
      <c r="G111" s="383">
        <f>'CC &amp; HOH'!H19</f>
        <v>9</v>
      </c>
      <c r="H111" s="383">
        <f>'CC &amp; HOH'!I19</f>
        <v>6</v>
      </c>
      <c r="I111" s="383"/>
      <c r="J111" s="383">
        <f>'CC &amp; HOH'!$W$19</f>
        <v>1</v>
      </c>
      <c r="K111" s="383">
        <f>'CC &amp; HOH'!$X$19</f>
        <v>0.5</v>
      </c>
      <c r="L111" s="383">
        <f>'CC &amp; HOH'!$Z$19</f>
        <v>0</v>
      </c>
      <c r="M111" s="408">
        <f>'CC &amp; HOH'!$AA$19</f>
        <v>0.05</v>
      </c>
      <c r="N111" s="409">
        <f>'CC &amp; HOH'!$AB$19</f>
        <v>0</v>
      </c>
    </row>
    <row r="112" spans="1:14" x14ac:dyDescent="0.35">
      <c r="A112" s="374" t="str">
        <f>'Summary (READ FIRST)'!$B$8</f>
        <v>Supplier 1</v>
      </c>
      <c r="B112" s="375" t="str">
        <f>'Summary (READ FIRST)'!$B$11</f>
        <v>English</v>
      </c>
      <c r="C112" s="375" t="s">
        <v>34</v>
      </c>
      <c r="D112" s="375" t="s">
        <v>30</v>
      </c>
      <c r="E112" s="375" t="s">
        <v>16</v>
      </c>
      <c r="F112" s="375" t="s">
        <v>19</v>
      </c>
      <c r="G112" s="383">
        <f>'CC &amp; HOH'!K19</f>
        <v>9</v>
      </c>
      <c r="H112" s="383">
        <f>'CC &amp; HOH'!L19</f>
        <v>7</v>
      </c>
      <c r="I112" s="383"/>
      <c r="J112" s="383">
        <f>'CC &amp; HOH'!$W$19</f>
        <v>1</v>
      </c>
      <c r="K112" s="383">
        <f>'CC &amp; HOH'!$X$19</f>
        <v>0.5</v>
      </c>
      <c r="L112" s="383">
        <f>'CC &amp; HOH'!$Z$19</f>
        <v>0</v>
      </c>
      <c r="M112" s="408">
        <f>'CC &amp; HOH'!$AA$19</f>
        <v>0.05</v>
      </c>
      <c r="N112" s="409">
        <f>'CC &amp; HOH'!$AB$19</f>
        <v>0</v>
      </c>
    </row>
    <row r="113" spans="1:14" x14ac:dyDescent="0.35">
      <c r="A113" s="374" t="str">
        <f>'Summary (READ FIRST)'!$B$8</f>
        <v>Supplier 1</v>
      </c>
      <c r="B113" s="375" t="str">
        <f>'Summary (READ FIRST)'!$B$11</f>
        <v>English</v>
      </c>
      <c r="C113" s="375" t="s">
        <v>34</v>
      </c>
      <c r="D113" s="375" t="s">
        <v>30</v>
      </c>
      <c r="E113" s="375" t="s">
        <v>20</v>
      </c>
      <c r="F113" s="375" t="s">
        <v>21</v>
      </c>
      <c r="G113" s="383">
        <f>'CC &amp; HOH'!N19</f>
        <v>9</v>
      </c>
      <c r="H113" s="383">
        <f>'CC &amp; HOH'!O19</f>
        <v>5</v>
      </c>
      <c r="I113" s="383"/>
      <c r="J113" s="383">
        <f>'CC &amp; HOH'!$W$19</f>
        <v>1</v>
      </c>
      <c r="K113" s="383">
        <f>'CC &amp; HOH'!$X$19</f>
        <v>0.5</v>
      </c>
      <c r="L113" s="383">
        <f>'CC &amp; HOH'!$Z$19</f>
        <v>0</v>
      </c>
      <c r="M113" s="408">
        <f>'CC &amp; HOH'!$AA$19</f>
        <v>0.05</v>
      </c>
      <c r="N113" s="409">
        <f>'CC &amp; HOH'!$AB$19</f>
        <v>0</v>
      </c>
    </row>
    <row r="114" spans="1:14" x14ac:dyDescent="0.35">
      <c r="A114" s="374" t="str">
        <f>'Summary (READ FIRST)'!$B$8</f>
        <v>Supplier 1</v>
      </c>
      <c r="B114" s="375" t="str">
        <f>'Summary (READ FIRST)'!$B$11</f>
        <v>English</v>
      </c>
      <c r="C114" s="375" t="s">
        <v>34</v>
      </c>
      <c r="D114" s="375" t="s">
        <v>30</v>
      </c>
      <c r="E114" s="375" t="s">
        <v>20</v>
      </c>
      <c r="F114" s="375" t="s">
        <v>22</v>
      </c>
      <c r="G114" s="383">
        <f>'CC &amp; HOH'!Q19</f>
        <v>15</v>
      </c>
      <c r="H114" s="383">
        <f>'CC &amp; HOH'!R19</f>
        <v>12</v>
      </c>
      <c r="I114" s="383"/>
      <c r="J114" s="383">
        <f>'CC &amp; HOH'!$W$19</f>
        <v>1</v>
      </c>
      <c r="K114" s="383">
        <f>'CC &amp; HOH'!$X$19</f>
        <v>0.5</v>
      </c>
      <c r="L114" s="383">
        <f>'CC &amp; HOH'!$Z$19</f>
        <v>0</v>
      </c>
      <c r="M114" s="408">
        <f>'CC &amp; HOH'!$AA$19</f>
        <v>0.05</v>
      </c>
      <c r="N114" s="409">
        <f>'CC &amp; HOH'!$AB$19</f>
        <v>0</v>
      </c>
    </row>
    <row r="115" spans="1:14" x14ac:dyDescent="0.35">
      <c r="A115" s="376" t="str">
        <f>'Summary (READ FIRST)'!$B$8</f>
        <v>Supplier 1</v>
      </c>
      <c r="B115" s="377" t="str">
        <f>'Summary (READ FIRST)'!$B$11</f>
        <v>English</v>
      </c>
      <c r="C115" s="377" t="s">
        <v>34</v>
      </c>
      <c r="D115" s="375" t="s">
        <v>30</v>
      </c>
      <c r="E115" s="377" t="s">
        <v>20</v>
      </c>
      <c r="F115" s="377" t="s">
        <v>23</v>
      </c>
      <c r="G115" s="383">
        <f>'CC &amp; HOH'!T19</f>
        <v>9</v>
      </c>
      <c r="H115" s="383">
        <f>'CC &amp; HOH'!U19</f>
        <v>8</v>
      </c>
      <c r="I115" s="383"/>
      <c r="J115" s="383">
        <f>'CC &amp; HOH'!$W$19</f>
        <v>1</v>
      </c>
      <c r="K115" s="383">
        <f>'CC &amp; HOH'!$X$19</f>
        <v>0.5</v>
      </c>
      <c r="L115" s="383">
        <f>'CC &amp; HOH'!$Z$19</f>
        <v>0</v>
      </c>
      <c r="M115" s="408">
        <f>'CC &amp; HOH'!$AA$19</f>
        <v>0.05</v>
      </c>
      <c r="N115" s="409">
        <f>'CC &amp; HOH'!$AB$19</f>
        <v>0</v>
      </c>
    </row>
    <row r="116" spans="1:14" x14ac:dyDescent="0.35">
      <c r="A116" s="372" t="str">
        <f>'Summary (READ FIRST)'!$B$8</f>
        <v>Supplier 1</v>
      </c>
      <c r="B116" s="373" t="str">
        <f>'Summary (READ FIRST)'!$B$11</f>
        <v>English</v>
      </c>
      <c r="C116" s="373" t="s">
        <v>34</v>
      </c>
      <c r="D116" s="373" t="s">
        <v>31</v>
      </c>
      <c r="E116" s="373" t="s">
        <v>16</v>
      </c>
      <c r="F116" s="373" t="s">
        <v>17</v>
      </c>
      <c r="G116" s="383">
        <f>'CC &amp; HOH'!E20</f>
        <v>5</v>
      </c>
      <c r="H116" s="383">
        <f>'CC &amp; HOH'!F20</f>
        <v>0</v>
      </c>
      <c r="I116" s="383"/>
      <c r="J116" s="383">
        <f>'CC &amp; HOH'!$W$20</f>
        <v>1</v>
      </c>
      <c r="K116" s="383">
        <f>'CC &amp; HOH'!$X$20</f>
        <v>0.5</v>
      </c>
      <c r="L116" s="383" t="str">
        <f>'CC &amp; HOH'!$Z$20</f>
        <v>Tools</v>
      </c>
      <c r="M116" s="408">
        <f>'CC &amp; HOH'!$AA$20</f>
        <v>0.05</v>
      </c>
      <c r="N116" s="409" t="str">
        <f>'CC &amp; HOH'!$AB$20</f>
        <v>Note 2</v>
      </c>
    </row>
    <row r="117" spans="1:14" x14ac:dyDescent="0.35">
      <c r="A117" s="374" t="str">
        <f>'Summary (READ FIRST)'!$B$8</f>
        <v>Supplier 1</v>
      </c>
      <c r="B117" s="375" t="str">
        <f>'Summary (READ FIRST)'!$B$11</f>
        <v>English</v>
      </c>
      <c r="C117" s="375" t="s">
        <v>34</v>
      </c>
      <c r="D117" s="375" t="s">
        <v>31</v>
      </c>
      <c r="E117" s="375" t="s">
        <v>16</v>
      </c>
      <c r="F117" s="375" t="s">
        <v>18</v>
      </c>
      <c r="G117" s="383">
        <f>'CC &amp; HOH'!H20</f>
        <v>10</v>
      </c>
      <c r="H117" s="383">
        <f>'CC &amp; HOH'!I20</f>
        <v>4</v>
      </c>
      <c r="I117" s="383"/>
      <c r="J117" s="383">
        <f>'CC &amp; HOH'!$W$20</f>
        <v>1</v>
      </c>
      <c r="K117" s="383">
        <f>'CC &amp; HOH'!$X$20</f>
        <v>0.5</v>
      </c>
      <c r="L117" s="383" t="str">
        <f>'CC &amp; HOH'!$Z$20</f>
        <v>Tools</v>
      </c>
      <c r="M117" s="408">
        <f>'CC &amp; HOH'!$AA$20</f>
        <v>0.05</v>
      </c>
      <c r="N117" s="409" t="str">
        <f>'CC &amp; HOH'!$AB$20</f>
        <v>Note 2</v>
      </c>
    </row>
    <row r="118" spans="1:14" x14ac:dyDescent="0.35">
      <c r="A118" s="374" t="str">
        <f>'Summary (READ FIRST)'!$B$8</f>
        <v>Supplier 1</v>
      </c>
      <c r="B118" s="375" t="str">
        <f>'Summary (READ FIRST)'!$B$11</f>
        <v>English</v>
      </c>
      <c r="C118" s="375" t="s">
        <v>34</v>
      </c>
      <c r="D118" s="375" t="s">
        <v>31</v>
      </c>
      <c r="E118" s="375" t="s">
        <v>16</v>
      </c>
      <c r="F118" s="375" t="s">
        <v>19</v>
      </c>
      <c r="G118" s="383">
        <f>'CC &amp; HOH'!K20</f>
        <v>11</v>
      </c>
      <c r="H118" s="383">
        <f>'CC &amp; HOH'!L20</f>
        <v>8</v>
      </c>
      <c r="I118" s="383"/>
      <c r="J118" s="383">
        <f>'CC &amp; HOH'!$W$20</f>
        <v>1</v>
      </c>
      <c r="K118" s="383">
        <f>'CC &amp; HOH'!$X$20</f>
        <v>0.5</v>
      </c>
      <c r="L118" s="383" t="str">
        <f>'CC &amp; HOH'!$Z$20</f>
        <v>Tools</v>
      </c>
      <c r="M118" s="408">
        <f>'CC &amp; HOH'!$AA$20</f>
        <v>0.05</v>
      </c>
      <c r="N118" s="409" t="str">
        <f>'CC &amp; HOH'!$AB$20</f>
        <v>Note 2</v>
      </c>
    </row>
    <row r="119" spans="1:14" x14ac:dyDescent="0.35">
      <c r="A119" s="374" t="str">
        <f>'Summary (READ FIRST)'!$B$8</f>
        <v>Supplier 1</v>
      </c>
      <c r="B119" s="375" t="str">
        <f>'Summary (READ FIRST)'!$B$11</f>
        <v>English</v>
      </c>
      <c r="C119" s="375" t="s">
        <v>34</v>
      </c>
      <c r="D119" s="375" t="s">
        <v>31</v>
      </c>
      <c r="E119" s="375" t="s">
        <v>20</v>
      </c>
      <c r="F119" s="375" t="s">
        <v>21</v>
      </c>
      <c r="G119" s="383">
        <f>'CC &amp; HOH'!N20</f>
        <v>12</v>
      </c>
      <c r="H119" s="383">
        <f>'CC &amp; HOH'!O20</f>
        <v>7</v>
      </c>
      <c r="I119" s="383"/>
      <c r="J119" s="383">
        <f>'CC &amp; HOH'!$W$20</f>
        <v>1</v>
      </c>
      <c r="K119" s="383">
        <f>'CC &amp; HOH'!$X$20</f>
        <v>0.5</v>
      </c>
      <c r="L119" s="383" t="str">
        <f>'CC &amp; HOH'!$Z$20</f>
        <v>Tools</v>
      </c>
      <c r="M119" s="408">
        <f>'CC &amp; HOH'!$AA$20</f>
        <v>0.05</v>
      </c>
      <c r="N119" s="409" t="str">
        <f>'CC &amp; HOH'!$AB$20</f>
        <v>Note 2</v>
      </c>
    </row>
    <row r="120" spans="1:14" x14ac:dyDescent="0.35">
      <c r="A120" s="374" t="str">
        <f>'Summary (READ FIRST)'!$B$8</f>
        <v>Supplier 1</v>
      </c>
      <c r="B120" s="375" t="str">
        <f>'Summary (READ FIRST)'!$B$11</f>
        <v>English</v>
      </c>
      <c r="C120" s="375" t="s">
        <v>34</v>
      </c>
      <c r="D120" s="375" t="s">
        <v>31</v>
      </c>
      <c r="E120" s="375" t="s">
        <v>20</v>
      </c>
      <c r="F120" s="375" t="s">
        <v>22</v>
      </c>
      <c r="G120" s="383">
        <f>'CC &amp; HOH'!Q20</f>
        <v>0</v>
      </c>
      <c r="H120" s="383">
        <f>'CC &amp; HOH'!R20</f>
        <v>10</v>
      </c>
      <c r="I120" s="383"/>
      <c r="J120" s="383">
        <f>'CC &amp; HOH'!$W$20</f>
        <v>1</v>
      </c>
      <c r="K120" s="383">
        <f>'CC &amp; HOH'!$X$20</f>
        <v>0.5</v>
      </c>
      <c r="L120" s="383" t="str">
        <f>'CC &amp; HOH'!$Z$20</f>
        <v>Tools</v>
      </c>
      <c r="M120" s="408">
        <f>'CC &amp; HOH'!$AA$20</f>
        <v>0.05</v>
      </c>
      <c r="N120" s="409" t="str">
        <f>'CC &amp; HOH'!$AB$20</f>
        <v>Note 2</v>
      </c>
    </row>
    <row r="121" spans="1:14" x14ac:dyDescent="0.35">
      <c r="A121" s="376" t="str">
        <f>'Summary (READ FIRST)'!$B$8</f>
        <v>Supplier 1</v>
      </c>
      <c r="B121" s="377" t="str">
        <f>'Summary (READ FIRST)'!$B$11</f>
        <v>English</v>
      </c>
      <c r="C121" s="377" t="s">
        <v>34</v>
      </c>
      <c r="D121" s="375" t="s">
        <v>31</v>
      </c>
      <c r="E121" s="377" t="s">
        <v>20</v>
      </c>
      <c r="F121" s="377" t="s">
        <v>23</v>
      </c>
      <c r="G121" s="383">
        <f>'CC &amp; HOH'!T20</f>
        <v>0</v>
      </c>
      <c r="H121" s="383">
        <f>'CC &amp; HOH'!U20</f>
        <v>10</v>
      </c>
      <c r="I121" s="383"/>
      <c r="J121" s="383">
        <f>'CC &amp; HOH'!$W$20</f>
        <v>1</v>
      </c>
      <c r="K121" s="383">
        <f>'CC &amp; HOH'!$X$20</f>
        <v>0.5</v>
      </c>
      <c r="L121" s="383" t="str">
        <f>'CC &amp; HOH'!$Z$20</f>
        <v>Tools</v>
      </c>
      <c r="M121" s="408">
        <f>'CC &amp; HOH'!$AA$20</f>
        <v>0.05</v>
      </c>
      <c r="N121" s="409" t="str">
        <f>'CC &amp; HOH'!$AB$20</f>
        <v>Note 2</v>
      </c>
    </row>
    <row r="122" spans="1:14" x14ac:dyDescent="0.35">
      <c r="A122" s="372" t="str">
        <f>'Summary (READ FIRST)'!$B$8</f>
        <v>Supplier 1</v>
      </c>
      <c r="B122" s="373" t="str">
        <f>'Summary (READ FIRST)'!$B$11</f>
        <v>English</v>
      </c>
      <c r="C122" s="373" t="s">
        <v>34</v>
      </c>
      <c r="D122" s="373" t="s">
        <v>32</v>
      </c>
      <c r="E122" s="373" t="s">
        <v>16</v>
      </c>
      <c r="F122" s="373" t="s">
        <v>17</v>
      </c>
      <c r="G122" s="383">
        <f>'CC &amp; HOH'!E21</f>
        <v>10</v>
      </c>
      <c r="H122" s="383">
        <f>'CC &amp; HOH'!F21</f>
        <v>8</v>
      </c>
      <c r="I122" s="383"/>
      <c r="J122" s="383">
        <f>'CC &amp; HOH'!$W$21</f>
        <v>1</v>
      </c>
      <c r="K122" s="383">
        <f>'CC &amp; HOH'!$X$21</f>
        <v>0.5</v>
      </c>
      <c r="L122" s="383" t="str">
        <f>'CC &amp; HOH'!$Z$21</f>
        <v>Workflow</v>
      </c>
      <c r="M122" s="408">
        <f>'CC &amp; HOH'!$AA$21</f>
        <v>0.15</v>
      </c>
      <c r="N122" s="409" t="str">
        <f>'CC &amp; HOH'!$AB$21</f>
        <v>Note 2</v>
      </c>
    </row>
    <row r="123" spans="1:14" x14ac:dyDescent="0.35">
      <c r="A123" s="374" t="str">
        <f>'Summary (READ FIRST)'!$B$8</f>
        <v>Supplier 1</v>
      </c>
      <c r="B123" s="375" t="str">
        <f>'Summary (READ FIRST)'!$B$11</f>
        <v>English</v>
      </c>
      <c r="C123" s="375" t="s">
        <v>34</v>
      </c>
      <c r="D123" s="375" t="s">
        <v>32</v>
      </c>
      <c r="E123" s="375" t="s">
        <v>16</v>
      </c>
      <c r="F123" s="375" t="s">
        <v>18</v>
      </c>
      <c r="G123" s="383">
        <f>'CC &amp; HOH'!H21</f>
        <v>9</v>
      </c>
      <c r="H123" s="383">
        <f>'CC &amp; HOH'!I21</f>
        <v>0</v>
      </c>
      <c r="I123" s="383"/>
      <c r="J123" s="383">
        <f>'CC &amp; HOH'!$W$21</f>
        <v>1</v>
      </c>
      <c r="K123" s="383">
        <f>'CC &amp; HOH'!$X$21</f>
        <v>0.5</v>
      </c>
      <c r="L123" s="383" t="str">
        <f>'CC &amp; HOH'!$Z$21</f>
        <v>Workflow</v>
      </c>
      <c r="M123" s="408">
        <f>'CC &amp; HOH'!$AA$21</f>
        <v>0.15</v>
      </c>
      <c r="N123" s="409" t="str">
        <f>'CC &amp; HOH'!$AB$21</f>
        <v>Note 2</v>
      </c>
    </row>
    <row r="124" spans="1:14" x14ac:dyDescent="0.35">
      <c r="A124" s="374" t="str">
        <f>'Summary (READ FIRST)'!$B$8</f>
        <v>Supplier 1</v>
      </c>
      <c r="B124" s="375" t="str">
        <f>'Summary (READ FIRST)'!$B$11</f>
        <v>English</v>
      </c>
      <c r="C124" s="375" t="s">
        <v>34</v>
      </c>
      <c r="D124" s="375" t="s">
        <v>32</v>
      </c>
      <c r="E124" s="375" t="s">
        <v>16</v>
      </c>
      <c r="F124" s="375" t="s">
        <v>19</v>
      </c>
      <c r="G124" s="383">
        <f>'CC &amp; HOH'!K21</f>
        <v>0</v>
      </c>
      <c r="H124" s="383">
        <f>'CC &amp; HOH'!L21</f>
        <v>5</v>
      </c>
      <c r="I124" s="383"/>
      <c r="J124" s="383">
        <f>'CC &amp; HOH'!$W$21</f>
        <v>1</v>
      </c>
      <c r="K124" s="383">
        <f>'CC &amp; HOH'!$X$21</f>
        <v>0.5</v>
      </c>
      <c r="L124" s="383" t="str">
        <f>'CC &amp; HOH'!$Z$21</f>
        <v>Workflow</v>
      </c>
      <c r="M124" s="408">
        <f>'CC &amp; HOH'!$AA$21</f>
        <v>0.15</v>
      </c>
      <c r="N124" s="409" t="str">
        <f>'CC &amp; HOH'!$AB$21</f>
        <v>Note 2</v>
      </c>
    </row>
    <row r="125" spans="1:14" x14ac:dyDescent="0.35">
      <c r="A125" s="374" t="str">
        <f>'Summary (READ FIRST)'!$B$8</f>
        <v>Supplier 1</v>
      </c>
      <c r="B125" s="375" t="str">
        <f>'Summary (READ FIRST)'!$B$11</f>
        <v>English</v>
      </c>
      <c r="C125" s="375" t="s">
        <v>34</v>
      </c>
      <c r="D125" s="375" t="s">
        <v>32</v>
      </c>
      <c r="E125" s="375" t="s">
        <v>20</v>
      </c>
      <c r="F125" s="375" t="s">
        <v>21</v>
      </c>
      <c r="G125" s="383">
        <f>'CC &amp; HOH'!N21</f>
        <v>0</v>
      </c>
      <c r="H125" s="383">
        <f>'CC &amp; HOH'!O21</f>
        <v>7</v>
      </c>
      <c r="I125" s="383"/>
      <c r="J125" s="383">
        <f>'CC &amp; HOH'!$W$21</f>
        <v>1</v>
      </c>
      <c r="K125" s="383">
        <f>'CC &amp; HOH'!$X$21</f>
        <v>0.5</v>
      </c>
      <c r="L125" s="383" t="str">
        <f>'CC &amp; HOH'!$Z$21</f>
        <v>Workflow</v>
      </c>
      <c r="M125" s="408">
        <f>'CC &amp; HOH'!$AA$21</f>
        <v>0.15</v>
      </c>
      <c r="N125" s="409" t="str">
        <f>'CC &amp; HOH'!$AB$21</f>
        <v>Note 2</v>
      </c>
    </row>
    <row r="126" spans="1:14" x14ac:dyDescent="0.35">
      <c r="A126" s="374" t="str">
        <f>'Summary (READ FIRST)'!$B$8</f>
        <v>Supplier 1</v>
      </c>
      <c r="B126" s="375" t="str">
        <f>'Summary (READ FIRST)'!$B$11</f>
        <v>English</v>
      </c>
      <c r="C126" s="375" t="s">
        <v>34</v>
      </c>
      <c r="D126" s="375" t="s">
        <v>32</v>
      </c>
      <c r="E126" s="375" t="s">
        <v>20</v>
      </c>
      <c r="F126" s="375" t="s">
        <v>22</v>
      </c>
      <c r="G126" s="383">
        <f>'CC &amp; HOH'!Q21</f>
        <v>14</v>
      </c>
      <c r="H126" s="383">
        <f>'CC &amp; HOH'!R21</f>
        <v>8</v>
      </c>
      <c r="I126" s="383"/>
      <c r="J126" s="383">
        <f>'CC &amp; HOH'!$W$21</f>
        <v>1</v>
      </c>
      <c r="K126" s="383">
        <f>'CC &amp; HOH'!$X$21</f>
        <v>0.5</v>
      </c>
      <c r="L126" s="383" t="str">
        <f>'CC &amp; HOH'!$Z$21</f>
        <v>Workflow</v>
      </c>
      <c r="M126" s="408">
        <f>'CC &amp; HOH'!$AA$21</f>
        <v>0.15</v>
      </c>
      <c r="N126" s="409" t="str">
        <f>'CC &amp; HOH'!$AB$21</f>
        <v>Note 2</v>
      </c>
    </row>
    <row r="127" spans="1:14" x14ac:dyDescent="0.35">
      <c r="A127" s="376" t="str">
        <f>'Summary (READ FIRST)'!$B$8</f>
        <v>Supplier 1</v>
      </c>
      <c r="B127" s="377" t="str">
        <f>'Summary (READ FIRST)'!$B$11</f>
        <v>English</v>
      </c>
      <c r="C127" s="377" t="s">
        <v>34</v>
      </c>
      <c r="D127" s="375" t="s">
        <v>32</v>
      </c>
      <c r="E127" s="377" t="s">
        <v>20</v>
      </c>
      <c r="F127" s="377" t="s">
        <v>23</v>
      </c>
      <c r="G127" s="383">
        <f>'CC &amp; HOH'!T21</f>
        <v>10</v>
      </c>
      <c r="H127" s="383">
        <f>'CC &amp; HOH'!U21</f>
        <v>5</v>
      </c>
      <c r="I127" s="383"/>
      <c r="J127" s="383">
        <f>'CC &amp; HOH'!$W$21</f>
        <v>1</v>
      </c>
      <c r="K127" s="383">
        <f>'CC &amp; HOH'!$X$21</f>
        <v>0.5</v>
      </c>
      <c r="L127" s="383" t="str">
        <f>'CC &amp; HOH'!$Z$21</f>
        <v>Workflow</v>
      </c>
      <c r="M127" s="408">
        <f>'CC &amp; HOH'!$AA$21</f>
        <v>0.15</v>
      </c>
      <c r="N127" s="409" t="str">
        <f>'CC &amp; HOH'!$AB$21</f>
        <v>Note 2</v>
      </c>
    </row>
    <row r="128" spans="1:14" x14ac:dyDescent="0.35">
      <c r="A128" s="372" t="str">
        <f>'Summary (READ FIRST)'!$B$8</f>
        <v>Supplier 1</v>
      </c>
      <c r="B128" s="373" t="str">
        <f>'Summary (READ FIRST)'!$B$11</f>
        <v>English</v>
      </c>
      <c r="C128" s="373" t="s">
        <v>34</v>
      </c>
      <c r="D128" s="373" t="s">
        <v>33</v>
      </c>
      <c r="E128" s="373" t="s">
        <v>16</v>
      </c>
      <c r="F128" s="373" t="s">
        <v>17</v>
      </c>
      <c r="G128" s="383">
        <f>'CC &amp; HOH'!E22</f>
        <v>11</v>
      </c>
      <c r="H128" s="383">
        <f>'CC &amp; HOH'!F22</f>
        <v>10</v>
      </c>
      <c r="I128" s="383"/>
      <c r="J128" s="383">
        <f>'CC &amp; HOH'!$W$22</f>
        <v>0</v>
      </c>
      <c r="K128" s="383">
        <f>'CC &amp; HOH'!$X$22</f>
        <v>0.5</v>
      </c>
      <c r="L128" s="383" t="str">
        <f>'CC &amp; HOH'!$Z$22</f>
        <v>Tools</v>
      </c>
      <c r="M128" s="408">
        <f>'CC &amp; HOH'!$AA$22</f>
        <v>0.1</v>
      </c>
      <c r="N128" s="409" t="str">
        <f>'CC &amp; HOH'!$AB$22</f>
        <v>Note 2</v>
      </c>
    </row>
    <row r="129" spans="1:14" x14ac:dyDescent="0.35">
      <c r="A129" s="374" t="str">
        <f>'Summary (READ FIRST)'!$B$8</f>
        <v>Supplier 1</v>
      </c>
      <c r="B129" s="375" t="str">
        <f>'Summary (READ FIRST)'!$B$11</f>
        <v>English</v>
      </c>
      <c r="C129" s="375" t="s">
        <v>34</v>
      </c>
      <c r="D129" s="375" t="s">
        <v>33</v>
      </c>
      <c r="E129" s="375" t="s">
        <v>16</v>
      </c>
      <c r="F129" s="375" t="s">
        <v>18</v>
      </c>
      <c r="G129" s="383">
        <f>'CC &amp; HOH'!H22</f>
        <v>15</v>
      </c>
      <c r="H129" s="383">
        <f>'CC &amp; HOH'!I22</f>
        <v>9</v>
      </c>
      <c r="I129" s="383"/>
      <c r="J129" s="383">
        <f>'CC &amp; HOH'!$W$22</f>
        <v>0</v>
      </c>
      <c r="K129" s="383">
        <f>'CC &amp; HOH'!$X$22</f>
        <v>0.5</v>
      </c>
      <c r="L129" s="383" t="str">
        <f>'CC &amp; HOH'!$Z$22</f>
        <v>Tools</v>
      </c>
      <c r="M129" s="408">
        <f>'CC &amp; HOH'!$AA$22</f>
        <v>0.1</v>
      </c>
      <c r="N129" s="409" t="str">
        <f>'CC &amp; HOH'!$AB$22</f>
        <v>Note 2</v>
      </c>
    </row>
    <row r="130" spans="1:14" x14ac:dyDescent="0.35">
      <c r="A130" s="374" t="str">
        <f>'Summary (READ FIRST)'!$B$8</f>
        <v>Supplier 1</v>
      </c>
      <c r="B130" s="375" t="str">
        <f>'Summary (READ FIRST)'!$B$11</f>
        <v>English</v>
      </c>
      <c r="C130" s="375" t="s">
        <v>34</v>
      </c>
      <c r="D130" s="375" t="s">
        <v>33</v>
      </c>
      <c r="E130" s="375" t="s">
        <v>16</v>
      </c>
      <c r="F130" s="375" t="s">
        <v>19</v>
      </c>
      <c r="G130" s="383">
        <f>'CC &amp; HOH'!K22</f>
        <v>13</v>
      </c>
      <c r="H130" s="383">
        <f>'CC &amp; HOH'!L22</f>
        <v>5</v>
      </c>
      <c r="I130" s="383"/>
      <c r="J130" s="383">
        <f>'CC &amp; HOH'!$W$22</f>
        <v>0</v>
      </c>
      <c r="K130" s="383">
        <f>'CC &amp; HOH'!$X$22</f>
        <v>0.5</v>
      </c>
      <c r="L130" s="383" t="str">
        <f>'CC &amp; HOH'!$Z$22</f>
        <v>Tools</v>
      </c>
      <c r="M130" s="408">
        <f>'CC &amp; HOH'!$AA$22</f>
        <v>0.1</v>
      </c>
      <c r="N130" s="409" t="str">
        <f>'CC &amp; HOH'!$AB$22</f>
        <v>Note 2</v>
      </c>
    </row>
    <row r="131" spans="1:14" x14ac:dyDescent="0.35">
      <c r="A131" s="374" t="str">
        <f>'Summary (READ FIRST)'!$B$8</f>
        <v>Supplier 1</v>
      </c>
      <c r="B131" s="375" t="str">
        <f>'Summary (READ FIRST)'!$B$11</f>
        <v>English</v>
      </c>
      <c r="C131" s="375" t="s">
        <v>34</v>
      </c>
      <c r="D131" s="375" t="s">
        <v>33</v>
      </c>
      <c r="E131" s="375" t="s">
        <v>20</v>
      </c>
      <c r="F131" s="375" t="s">
        <v>21</v>
      </c>
      <c r="G131" s="383">
        <f>'CC &amp; HOH'!N22</f>
        <v>15</v>
      </c>
      <c r="H131" s="383">
        <f>'CC &amp; HOH'!O22</f>
        <v>8</v>
      </c>
      <c r="I131" s="383"/>
      <c r="J131" s="383">
        <f>'CC &amp; HOH'!$W$22</f>
        <v>0</v>
      </c>
      <c r="K131" s="383">
        <f>'CC &amp; HOH'!$X$22</f>
        <v>0.5</v>
      </c>
      <c r="L131" s="383" t="str">
        <f>'CC &amp; HOH'!$Z$22</f>
        <v>Tools</v>
      </c>
      <c r="M131" s="408">
        <f>'CC &amp; HOH'!$AA$22</f>
        <v>0.1</v>
      </c>
      <c r="N131" s="409" t="str">
        <f>'CC &amp; HOH'!$AB$22</f>
        <v>Note 2</v>
      </c>
    </row>
    <row r="132" spans="1:14" x14ac:dyDescent="0.35">
      <c r="A132" s="374" t="str">
        <f>'Summary (READ FIRST)'!$B$8</f>
        <v>Supplier 1</v>
      </c>
      <c r="B132" s="375" t="str">
        <f>'Summary (READ FIRST)'!$B$11</f>
        <v>English</v>
      </c>
      <c r="C132" s="375" t="s">
        <v>34</v>
      </c>
      <c r="D132" s="375" t="s">
        <v>33</v>
      </c>
      <c r="E132" s="375" t="s">
        <v>20</v>
      </c>
      <c r="F132" s="375" t="s">
        <v>22</v>
      </c>
      <c r="G132" s="383">
        <f>'CC &amp; HOH'!Q22</f>
        <v>8</v>
      </c>
      <c r="H132" s="383">
        <f>'CC &amp; HOH'!R22</f>
        <v>7</v>
      </c>
      <c r="I132" s="383"/>
      <c r="J132" s="383">
        <f>'CC &amp; HOH'!$W$22</f>
        <v>0</v>
      </c>
      <c r="K132" s="383">
        <f>'CC &amp; HOH'!$X$22</f>
        <v>0.5</v>
      </c>
      <c r="L132" s="383" t="str">
        <f>'CC &amp; HOH'!$Z$22</f>
        <v>Tools</v>
      </c>
      <c r="M132" s="408">
        <f>'CC &amp; HOH'!$AA$22</f>
        <v>0.1</v>
      </c>
      <c r="N132" s="409" t="str">
        <f>'CC &amp; HOH'!$AB$22</f>
        <v>Note 2</v>
      </c>
    </row>
    <row r="133" spans="1:14" x14ac:dyDescent="0.35">
      <c r="A133" s="376" t="str">
        <f>'Summary (READ FIRST)'!$B$8</f>
        <v>Supplier 1</v>
      </c>
      <c r="B133" s="377" t="str">
        <f>'Summary (READ FIRST)'!$B$11</f>
        <v>English</v>
      </c>
      <c r="C133" s="377" t="s">
        <v>34</v>
      </c>
      <c r="D133" s="375" t="s">
        <v>33</v>
      </c>
      <c r="E133" s="377" t="s">
        <v>20</v>
      </c>
      <c r="F133" s="377" t="s">
        <v>23</v>
      </c>
      <c r="G133" s="383">
        <f>'CC &amp; HOH'!T22</f>
        <v>15</v>
      </c>
      <c r="H133" s="383">
        <f>'CC &amp; HOH'!U22</f>
        <v>7</v>
      </c>
      <c r="I133" s="383"/>
      <c r="J133" s="383">
        <f>'CC &amp; HOH'!$W$22</f>
        <v>0</v>
      </c>
      <c r="K133" s="383">
        <f>'CC &amp; HOH'!$X$22</f>
        <v>0.5</v>
      </c>
      <c r="L133" s="383" t="str">
        <f>'CC &amp; HOH'!$Z$22</f>
        <v>Tools</v>
      </c>
      <c r="M133" s="408">
        <f>'CC &amp; HOH'!$AA$22</f>
        <v>0.1</v>
      </c>
      <c r="N133" s="409" t="str">
        <f>'CC &amp; HOH'!$AB$22</f>
        <v>Note 2</v>
      </c>
    </row>
    <row r="134" spans="1:14" s="367" customFormat="1" x14ac:dyDescent="0.35">
      <c r="A134" s="371" t="str">
        <f>'Summary (READ FIRST)'!$B$8</f>
        <v>Supplier 1</v>
      </c>
      <c r="B134" s="366" t="str">
        <f>'Summary (READ FIRST)'!$B$11</f>
        <v>English</v>
      </c>
      <c r="C134" s="366" t="s">
        <v>35</v>
      </c>
      <c r="D134" s="366" t="s">
        <v>15</v>
      </c>
      <c r="E134" s="366" t="s">
        <v>16</v>
      </c>
      <c r="F134" s="366" t="s">
        <v>36</v>
      </c>
      <c r="G134" s="382">
        <f>Dubbing!E12</f>
        <v>80</v>
      </c>
      <c r="H134" s="382">
        <f>Dubbing!G12</f>
        <v>59</v>
      </c>
      <c r="I134" s="382"/>
      <c r="J134" s="382">
        <f>Dubbing!$AE$12</f>
        <v>1</v>
      </c>
      <c r="K134" s="382">
        <f>Dubbing!$AF$12</f>
        <v>0.5</v>
      </c>
      <c r="L134" s="382" t="str">
        <f>Dubbing!$AH$12</f>
        <v>Tools</v>
      </c>
      <c r="M134" s="407">
        <f>Dubbing!$AI$12</f>
        <v>0.15</v>
      </c>
      <c r="N134" s="391" t="str">
        <f>Dubbing!$AJ$12</f>
        <v>Note 3</v>
      </c>
    </row>
    <row r="135" spans="1:14" s="367" customFormat="1" x14ac:dyDescent="0.35">
      <c r="A135" s="368" t="str">
        <f>'Summary (READ FIRST)'!$B$8</f>
        <v>Supplier 1</v>
      </c>
      <c r="B135" s="367" t="str">
        <f>'Summary (READ FIRST)'!$B$11</f>
        <v>English</v>
      </c>
      <c r="C135" s="367" t="s">
        <v>35</v>
      </c>
      <c r="D135" s="367" t="s">
        <v>15</v>
      </c>
      <c r="E135" s="367" t="s">
        <v>16</v>
      </c>
      <c r="F135" s="367" t="s">
        <v>37</v>
      </c>
      <c r="G135" s="382">
        <f>Dubbing!F12</f>
        <v>70</v>
      </c>
      <c r="H135" s="382">
        <f>Dubbing!H12</f>
        <v>51</v>
      </c>
      <c r="I135" s="382"/>
      <c r="J135" s="382">
        <f>Dubbing!$AE$12</f>
        <v>1</v>
      </c>
      <c r="K135" s="382">
        <f>Dubbing!$AF$12</f>
        <v>0.5</v>
      </c>
      <c r="L135" s="382" t="str">
        <f>Dubbing!$AH$12</f>
        <v>Tools</v>
      </c>
      <c r="M135" s="407">
        <f>Dubbing!$AI$12</f>
        <v>0.15</v>
      </c>
      <c r="N135" s="391" t="str">
        <f>Dubbing!$AJ$12</f>
        <v>Note 3</v>
      </c>
    </row>
    <row r="136" spans="1:14" s="367" customFormat="1" x14ac:dyDescent="0.35">
      <c r="A136" s="368" t="str">
        <f>'Summary (READ FIRST)'!$B$8</f>
        <v>Supplier 1</v>
      </c>
      <c r="B136" s="367" t="str">
        <f>'Summary (READ FIRST)'!$B$11</f>
        <v>English</v>
      </c>
      <c r="C136" s="367" t="s">
        <v>35</v>
      </c>
      <c r="D136" s="367" t="s">
        <v>15</v>
      </c>
      <c r="E136" s="367" t="s">
        <v>16</v>
      </c>
      <c r="F136" s="367" t="s">
        <v>38</v>
      </c>
      <c r="G136" s="382">
        <f>Dubbing!J12</f>
        <v>95</v>
      </c>
      <c r="H136" s="382">
        <f>Dubbing!L12</f>
        <v>55</v>
      </c>
      <c r="I136" s="382"/>
      <c r="J136" s="382">
        <f>Dubbing!$AE$12</f>
        <v>1</v>
      </c>
      <c r="K136" s="382">
        <f>Dubbing!$AF$12</f>
        <v>0.5</v>
      </c>
      <c r="L136" s="382" t="str">
        <f>Dubbing!$AH$12</f>
        <v>Tools</v>
      </c>
      <c r="M136" s="407">
        <f>Dubbing!$AI$12</f>
        <v>0.15</v>
      </c>
      <c r="N136" s="391" t="str">
        <f>Dubbing!$AJ$12</f>
        <v>Note 3</v>
      </c>
    </row>
    <row r="137" spans="1:14" s="367" customFormat="1" x14ac:dyDescent="0.35">
      <c r="A137" s="368" t="str">
        <f>'Summary (READ FIRST)'!$B$8</f>
        <v>Supplier 1</v>
      </c>
      <c r="B137" s="367" t="str">
        <f>'Summary (READ FIRST)'!$B$11</f>
        <v>English</v>
      </c>
      <c r="C137" s="367" t="s">
        <v>35</v>
      </c>
      <c r="D137" s="367" t="s">
        <v>15</v>
      </c>
      <c r="E137" s="367" t="s">
        <v>16</v>
      </c>
      <c r="F137" s="367" t="s">
        <v>39</v>
      </c>
      <c r="G137" s="382">
        <f>Dubbing!K12</f>
        <v>89</v>
      </c>
      <c r="H137" s="382">
        <f>Dubbing!M12</f>
        <v>33</v>
      </c>
      <c r="I137" s="382"/>
      <c r="J137" s="382">
        <f>Dubbing!$AE$12</f>
        <v>1</v>
      </c>
      <c r="K137" s="382">
        <f>Dubbing!$AF$12</f>
        <v>0.5</v>
      </c>
      <c r="L137" s="382" t="str">
        <f>Dubbing!$AH$12</f>
        <v>Tools</v>
      </c>
      <c r="M137" s="407">
        <f>Dubbing!$AI$12</f>
        <v>0.15</v>
      </c>
      <c r="N137" s="391" t="str">
        <f>Dubbing!$AJ$12</f>
        <v>Note 3</v>
      </c>
    </row>
    <row r="138" spans="1:14" s="367" customFormat="1" x14ac:dyDescent="0.35">
      <c r="A138" s="368" t="str">
        <f>'Summary (READ FIRST)'!$B$8</f>
        <v>Supplier 1</v>
      </c>
      <c r="B138" s="367" t="str">
        <f>'Summary (READ FIRST)'!$B$11</f>
        <v>English</v>
      </c>
      <c r="C138" s="367" t="s">
        <v>35</v>
      </c>
      <c r="D138" s="367" t="s">
        <v>15</v>
      </c>
      <c r="E138" s="367" t="s">
        <v>16</v>
      </c>
      <c r="F138" s="367" t="s">
        <v>40</v>
      </c>
      <c r="G138" s="382">
        <f>Dubbing!O12</f>
        <v>79</v>
      </c>
      <c r="H138" s="382">
        <f>Dubbing!Q12</f>
        <v>69</v>
      </c>
      <c r="I138" s="382"/>
      <c r="J138" s="382">
        <f>Dubbing!$AE$12</f>
        <v>1</v>
      </c>
      <c r="K138" s="382">
        <f>Dubbing!$AF$12</f>
        <v>0.5</v>
      </c>
      <c r="L138" s="382" t="str">
        <f>Dubbing!$AH$12</f>
        <v>Tools</v>
      </c>
      <c r="M138" s="407">
        <f>Dubbing!$AI$12</f>
        <v>0.15</v>
      </c>
      <c r="N138" s="391" t="str">
        <f>Dubbing!$AJ$12</f>
        <v>Note 3</v>
      </c>
    </row>
    <row r="139" spans="1:14" s="367" customFormat="1" x14ac:dyDescent="0.35">
      <c r="A139" s="368" t="str">
        <f>'Summary (READ FIRST)'!$B$8</f>
        <v>Supplier 1</v>
      </c>
      <c r="B139" s="367" t="str">
        <f>'Summary (READ FIRST)'!$B$11</f>
        <v>English</v>
      </c>
      <c r="C139" s="367" t="s">
        <v>35</v>
      </c>
      <c r="D139" s="367" t="s">
        <v>15</v>
      </c>
      <c r="E139" s="367" t="s">
        <v>16</v>
      </c>
      <c r="F139" s="367" t="s">
        <v>41</v>
      </c>
      <c r="G139" s="382">
        <f>Dubbing!P12</f>
        <v>71</v>
      </c>
      <c r="H139" s="382">
        <f>Dubbing!R12</f>
        <v>50</v>
      </c>
      <c r="I139" s="382"/>
      <c r="J139" s="382">
        <f>Dubbing!$AE$12</f>
        <v>1</v>
      </c>
      <c r="K139" s="382">
        <f>Dubbing!$AF$12</f>
        <v>0.5</v>
      </c>
      <c r="L139" s="382" t="str">
        <f>Dubbing!$AH$12</f>
        <v>Tools</v>
      </c>
      <c r="M139" s="407">
        <f>Dubbing!$AI$12</f>
        <v>0.15</v>
      </c>
      <c r="N139" s="391" t="str">
        <f>Dubbing!$AJ$12</f>
        <v>Note 3</v>
      </c>
    </row>
    <row r="140" spans="1:14" s="367" customFormat="1" x14ac:dyDescent="0.35">
      <c r="A140" s="368" t="str">
        <f>'Summary (READ FIRST)'!$B$8</f>
        <v>Supplier 1</v>
      </c>
      <c r="B140" s="367" t="str">
        <f>'Summary (READ FIRST)'!$B$11</f>
        <v>English</v>
      </c>
      <c r="C140" s="367" t="s">
        <v>35</v>
      </c>
      <c r="D140" s="367" t="s">
        <v>15</v>
      </c>
      <c r="E140" s="367" t="s">
        <v>20</v>
      </c>
      <c r="F140" s="367" t="s">
        <v>42</v>
      </c>
      <c r="G140" s="382">
        <f>Dubbing!T12</f>
        <v>71</v>
      </c>
      <c r="H140" s="382">
        <f>Dubbing!V12</f>
        <v>60</v>
      </c>
      <c r="I140" s="384">
        <f>Dubbing!X12</f>
        <v>63</v>
      </c>
      <c r="J140" s="382">
        <f>Dubbing!$AE$12</f>
        <v>1</v>
      </c>
      <c r="K140" s="382">
        <f>Dubbing!$AF$12</f>
        <v>0.5</v>
      </c>
      <c r="L140" s="382" t="str">
        <f>Dubbing!$AH$12</f>
        <v>Tools</v>
      </c>
      <c r="M140" s="407">
        <f>Dubbing!$AI$12</f>
        <v>0.15</v>
      </c>
      <c r="N140" s="391" t="str">
        <f>Dubbing!$AJ$12</f>
        <v>Note 3</v>
      </c>
    </row>
    <row r="141" spans="1:14" s="367" customFormat="1" x14ac:dyDescent="0.35">
      <c r="A141" s="368" t="str">
        <f>'Summary (READ FIRST)'!$B$8</f>
        <v>Supplier 1</v>
      </c>
      <c r="B141" s="367" t="str">
        <f>'Summary (READ FIRST)'!$B$11</f>
        <v>English</v>
      </c>
      <c r="C141" s="367" t="s">
        <v>35</v>
      </c>
      <c r="D141" s="367" t="s">
        <v>15</v>
      </c>
      <c r="E141" s="367" t="s">
        <v>20</v>
      </c>
      <c r="F141" s="367" t="s">
        <v>43</v>
      </c>
      <c r="G141" s="382">
        <f>Dubbing!U12</f>
        <v>57</v>
      </c>
      <c r="H141" s="382">
        <f>Dubbing!W12</f>
        <v>56</v>
      </c>
      <c r="I141" s="384">
        <f>Dubbing!Y12</f>
        <v>69</v>
      </c>
      <c r="J141" s="382">
        <f>Dubbing!$AE$12</f>
        <v>1</v>
      </c>
      <c r="K141" s="382">
        <f>Dubbing!$AF$12</f>
        <v>0.5</v>
      </c>
      <c r="L141" s="382" t="str">
        <f>Dubbing!$AH$12</f>
        <v>Tools</v>
      </c>
      <c r="M141" s="407">
        <f>Dubbing!$AI$12</f>
        <v>0.15</v>
      </c>
      <c r="N141" s="391" t="str">
        <f>Dubbing!$AJ$12</f>
        <v>Note 3</v>
      </c>
    </row>
    <row r="142" spans="1:14" s="367" customFormat="1" x14ac:dyDescent="0.35">
      <c r="A142" s="368" t="str">
        <f>'Summary (READ FIRST)'!$B$8</f>
        <v>Supplier 1</v>
      </c>
      <c r="B142" s="367" t="str">
        <f>'Summary (READ FIRST)'!$B$11</f>
        <v>English</v>
      </c>
      <c r="C142" s="367" t="s">
        <v>35</v>
      </c>
      <c r="D142" s="367" t="s">
        <v>15</v>
      </c>
      <c r="E142" s="367" t="s">
        <v>20</v>
      </c>
      <c r="F142" s="367" t="s">
        <v>23</v>
      </c>
      <c r="G142" s="382">
        <f>Dubbing!AA12</f>
        <v>56</v>
      </c>
      <c r="H142" s="382">
        <f>Dubbing!AB12</f>
        <v>55</v>
      </c>
      <c r="I142" s="384">
        <f>Dubbing!AC12</f>
        <v>84</v>
      </c>
      <c r="J142" s="382">
        <f>Dubbing!$AE$12</f>
        <v>1</v>
      </c>
      <c r="K142" s="382">
        <f>Dubbing!$AF$12</f>
        <v>0.5</v>
      </c>
      <c r="L142" s="382" t="str">
        <f>Dubbing!$AH$12</f>
        <v>Tools</v>
      </c>
      <c r="M142" s="407">
        <f>Dubbing!$AI$12</f>
        <v>0.15</v>
      </c>
      <c r="N142" s="391" t="str">
        <f>Dubbing!$AJ$12</f>
        <v>Note 3</v>
      </c>
    </row>
    <row r="143" spans="1:14" x14ac:dyDescent="0.35">
      <c r="A143" s="372" t="str">
        <f>'Summary (READ FIRST)'!$B$8</f>
        <v>Supplier 1</v>
      </c>
      <c r="B143" s="373" t="str">
        <f>'Summary (READ FIRST)'!$B$11</f>
        <v>English</v>
      </c>
      <c r="C143" s="373" t="s">
        <v>35</v>
      </c>
      <c r="D143" s="373" t="s">
        <v>24</v>
      </c>
      <c r="E143" s="373" t="s">
        <v>16</v>
      </c>
      <c r="F143" s="373" t="s">
        <v>36</v>
      </c>
      <c r="G143" s="382">
        <f>Dubbing!E13</f>
        <v>81</v>
      </c>
      <c r="H143" s="382">
        <f>Dubbing!G13</f>
        <v>50</v>
      </c>
      <c r="I143" s="382"/>
      <c r="J143" s="382">
        <f>Dubbing!$AE$13</f>
        <v>1</v>
      </c>
      <c r="K143" s="382">
        <f>Dubbing!$AF$13</f>
        <v>0.5</v>
      </c>
      <c r="L143" s="382" t="str">
        <f>Dubbing!$AH$13</f>
        <v>Workflow</v>
      </c>
      <c r="M143" s="407">
        <f>Dubbing!$AI$13</f>
        <v>0.1</v>
      </c>
      <c r="N143" s="391" t="str">
        <f>Dubbing!$AJ$13</f>
        <v>Note 3</v>
      </c>
    </row>
    <row r="144" spans="1:14" x14ac:dyDescent="0.35">
      <c r="A144" s="374" t="str">
        <f>'Summary (READ FIRST)'!$B$8</f>
        <v>Supplier 1</v>
      </c>
      <c r="B144" s="375" t="str">
        <f>'Summary (READ FIRST)'!$B$11</f>
        <v>English</v>
      </c>
      <c r="C144" s="375" t="s">
        <v>35</v>
      </c>
      <c r="D144" s="375" t="s">
        <v>24</v>
      </c>
      <c r="E144" s="375" t="s">
        <v>16</v>
      </c>
      <c r="F144" s="375" t="s">
        <v>37</v>
      </c>
      <c r="G144" s="382">
        <f>Dubbing!F13</f>
        <v>0</v>
      </c>
      <c r="H144" s="382">
        <f>Dubbing!H13</f>
        <v>50</v>
      </c>
      <c r="I144" s="382"/>
      <c r="J144" s="382">
        <f>Dubbing!$AE$13</f>
        <v>1</v>
      </c>
      <c r="K144" s="382">
        <f>Dubbing!$AF$13</f>
        <v>0.5</v>
      </c>
      <c r="L144" s="382" t="str">
        <f>Dubbing!$AH$13</f>
        <v>Workflow</v>
      </c>
      <c r="M144" s="407">
        <f>Dubbing!$AI$13</f>
        <v>0.1</v>
      </c>
      <c r="N144" s="391" t="str">
        <f>Dubbing!$AJ$13</f>
        <v>Note 3</v>
      </c>
    </row>
    <row r="145" spans="1:14" x14ac:dyDescent="0.35">
      <c r="A145" s="374" t="str">
        <f>'Summary (READ FIRST)'!$B$8</f>
        <v>Supplier 1</v>
      </c>
      <c r="B145" s="375" t="str">
        <f>'Summary (READ FIRST)'!$B$11</f>
        <v>English</v>
      </c>
      <c r="C145" s="375" t="s">
        <v>35</v>
      </c>
      <c r="D145" s="375" t="s">
        <v>24</v>
      </c>
      <c r="E145" s="375" t="s">
        <v>16</v>
      </c>
      <c r="F145" s="375" t="s">
        <v>38</v>
      </c>
      <c r="G145" s="382">
        <f>Dubbing!J13</f>
        <v>111</v>
      </c>
      <c r="H145" s="382">
        <f>Dubbing!L13</f>
        <v>25</v>
      </c>
      <c r="I145" s="382"/>
      <c r="J145" s="382">
        <f>Dubbing!$AE$13</f>
        <v>1</v>
      </c>
      <c r="K145" s="382">
        <f>Dubbing!$AF$13</f>
        <v>0.5</v>
      </c>
      <c r="L145" s="382" t="str">
        <f>Dubbing!$AH$13</f>
        <v>Workflow</v>
      </c>
      <c r="M145" s="407">
        <f>Dubbing!$AI$13</f>
        <v>0.1</v>
      </c>
      <c r="N145" s="391" t="str">
        <f>Dubbing!$AJ$13</f>
        <v>Note 3</v>
      </c>
    </row>
    <row r="146" spans="1:14" x14ac:dyDescent="0.35">
      <c r="A146" s="374" t="str">
        <f>'Summary (READ FIRST)'!$B$8</f>
        <v>Supplier 1</v>
      </c>
      <c r="B146" s="375" t="str">
        <f>'Summary (READ FIRST)'!$B$11</f>
        <v>English</v>
      </c>
      <c r="C146" s="375" t="s">
        <v>35</v>
      </c>
      <c r="D146" s="375" t="s">
        <v>24</v>
      </c>
      <c r="E146" s="375" t="s">
        <v>16</v>
      </c>
      <c r="F146" s="375" t="s">
        <v>39</v>
      </c>
      <c r="G146" s="382">
        <f>Dubbing!K13</f>
        <v>118</v>
      </c>
      <c r="H146" s="382">
        <f>Dubbing!M13</f>
        <v>72</v>
      </c>
      <c r="I146" s="382"/>
      <c r="J146" s="382">
        <f>Dubbing!$AE$13</f>
        <v>1</v>
      </c>
      <c r="K146" s="382">
        <f>Dubbing!$AF$13</f>
        <v>0.5</v>
      </c>
      <c r="L146" s="382" t="str">
        <f>Dubbing!$AH$13</f>
        <v>Workflow</v>
      </c>
      <c r="M146" s="407">
        <f>Dubbing!$AI$13</f>
        <v>0.1</v>
      </c>
      <c r="N146" s="391" t="str">
        <f>Dubbing!$AJ$13</f>
        <v>Note 3</v>
      </c>
    </row>
    <row r="147" spans="1:14" x14ac:dyDescent="0.35">
      <c r="A147" s="374" t="str">
        <f>'Summary (READ FIRST)'!$B$8</f>
        <v>Supplier 1</v>
      </c>
      <c r="B147" s="375" t="str">
        <f>'Summary (READ FIRST)'!$B$11</f>
        <v>English</v>
      </c>
      <c r="C147" s="375" t="s">
        <v>35</v>
      </c>
      <c r="D147" s="375" t="s">
        <v>24</v>
      </c>
      <c r="E147" s="375" t="s">
        <v>16</v>
      </c>
      <c r="F147" s="375" t="s">
        <v>40</v>
      </c>
      <c r="G147" s="382">
        <f>Dubbing!O13</f>
        <v>65</v>
      </c>
      <c r="H147" s="382">
        <f>Dubbing!Q13</f>
        <v>54</v>
      </c>
      <c r="I147" s="382"/>
      <c r="J147" s="382">
        <f>Dubbing!$AE$13</f>
        <v>1</v>
      </c>
      <c r="K147" s="382">
        <f>Dubbing!$AF$13</f>
        <v>0.5</v>
      </c>
      <c r="L147" s="382" t="str">
        <f>Dubbing!$AH$13</f>
        <v>Workflow</v>
      </c>
      <c r="M147" s="407">
        <f>Dubbing!$AI$13</f>
        <v>0.1</v>
      </c>
      <c r="N147" s="391" t="str">
        <f>Dubbing!$AJ$13</f>
        <v>Note 3</v>
      </c>
    </row>
    <row r="148" spans="1:14" x14ac:dyDescent="0.35">
      <c r="A148" s="374" t="str">
        <f>'Summary (READ FIRST)'!$B$8</f>
        <v>Supplier 1</v>
      </c>
      <c r="B148" s="375" t="str">
        <f>'Summary (READ FIRST)'!$B$11</f>
        <v>English</v>
      </c>
      <c r="C148" s="375" t="s">
        <v>35</v>
      </c>
      <c r="D148" s="375" t="s">
        <v>24</v>
      </c>
      <c r="E148" s="375" t="s">
        <v>16</v>
      </c>
      <c r="F148" s="375" t="s">
        <v>41</v>
      </c>
      <c r="G148" s="382">
        <f>Dubbing!P13</f>
        <v>55</v>
      </c>
      <c r="H148" s="382">
        <f>Dubbing!R13</f>
        <v>0</v>
      </c>
      <c r="I148" s="382"/>
      <c r="J148" s="382">
        <f>Dubbing!$AE$13</f>
        <v>1</v>
      </c>
      <c r="K148" s="382">
        <f>Dubbing!$AF$13</f>
        <v>0.5</v>
      </c>
      <c r="L148" s="382" t="str">
        <f>Dubbing!$AH$13</f>
        <v>Workflow</v>
      </c>
      <c r="M148" s="407">
        <f>Dubbing!$AI$13</f>
        <v>0.1</v>
      </c>
      <c r="N148" s="391" t="str">
        <f>Dubbing!$AJ$13</f>
        <v>Note 3</v>
      </c>
    </row>
    <row r="149" spans="1:14" x14ac:dyDescent="0.35">
      <c r="A149" s="374" t="str">
        <f>'Summary (READ FIRST)'!$B$8</f>
        <v>Supplier 1</v>
      </c>
      <c r="B149" s="375" t="str">
        <f>'Summary (READ FIRST)'!$B$11</f>
        <v>English</v>
      </c>
      <c r="C149" s="375" t="s">
        <v>35</v>
      </c>
      <c r="D149" s="375" t="s">
        <v>24</v>
      </c>
      <c r="E149" s="375" t="s">
        <v>20</v>
      </c>
      <c r="F149" s="375" t="s">
        <v>42</v>
      </c>
      <c r="G149" s="382">
        <f>Dubbing!T13</f>
        <v>0</v>
      </c>
      <c r="H149" s="382">
        <f>Dubbing!V13</f>
        <v>74</v>
      </c>
      <c r="I149" s="384">
        <f>Dubbing!X13</f>
        <v>87</v>
      </c>
      <c r="J149" s="382">
        <f>Dubbing!$AE$13</f>
        <v>1</v>
      </c>
      <c r="K149" s="382">
        <f>Dubbing!$AF$13</f>
        <v>0.5</v>
      </c>
      <c r="L149" s="382" t="str">
        <f>Dubbing!$AH$13</f>
        <v>Workflow</v>
      </c>
      <c r="M149" s="407">
        <f>Dubbing!$AI$13</f>
        <v>0.1</v>
      </c>
      <c r="N149" s="391" t="str">
        <f>Dubbing!$AJ$13</f>
        <v>Note 3</v>
      </c>
    </row>
    <row r="150" spans="1:14" x14ac:dyDescent="0.35">
      <c r="A150" s="374" t="str">
        <f>'Summary (READ FIRST)'!$B$8</f>
        <v>Supplier 1</v>
      </c>
      <c r="B150" s="375" t="str">
        <f>'Summary (READ FIRST)'!$B$11</f>
        <v>English</v>
      </c>
      <c r="C150" s="375" t="s">
        <v>35</v>
      </c>
      <c r="D150" s="375" t="s">
        <v>24</v>
      </c>
      <c r="E150" s="375" t="s">
        <v>20</v>
      </c>
      <c r="F150" s="375" t="s">
        <v>43</v>
      </c>
      <c r="G150" s="382">
        <f>Dubbing!U13</f>
        <v>64</v>
      </c>
      <c r="H150" s="382">
        <f>Dubbing!W13</f>
        <v>0</v>
      </c>
      <c r="I150" s="384">
        <f>Dubbing!Y13</f>
        <v>0</v>
      </c>
      <c r="J150" s="382">
        <f>Dubbing!$AE$13</f>
        <v>1</v>
      </c>
      <c r="K150" s="382">
        <f>Dubbing!$AF$13</f>
        <v>0.5</v>
      </c>
      <c r="L150" s="382" t="str">
        <f>Dubbing!$AH$13</f>
        <v>Workflow</v>
      </c>
      <c r="M150" s="407">
        <f>Dubbing!$AI$13</f>
        <v>0.1</v>
      </c>
      <c r="N150" s="391" t="str">
        <f>Dubbing!$AJ$13</f>
        <v>Note 3</v>
      </c>
    </row>
    <row r="151" spans="1:14" x14ac:dyDescent="0.35">
      <c r="A151" s="374" t="str">
        <f>'Summary (READ FIRST)'!$B$8</f>
        <v>Supplier 1</v>
      </c>
      <c r="B151" s="375" t="str">
        <f>'Summary (READ FIRST)'!$B$11</f>
        <v>English</v>
      </c>
      <c r="C151" s="375" t="s">
        <v>35</v>
      </c>
      <c r="D151" s="375" t="s">
        <v>24</v>
      </c>
      <c r="E151" s="375" t="s">
        <v>20</v>
      </c>
      <c r="F151" s="375" t="s">
        <v>23</v>
      </c>
      <c r="G151" s="382">
        <f>Dubbing!AA13</f>
        <v>0</v>
      </c>
      <c r="H151" s="382">
        <f>Dubbing!AB13</f>
        <v>56</v>
      </c>
      <c r="I151" s="384">
        <f>Dubbing!AC13</f>
        <v>0</v>
      </c>
      <c r="J151" s="382">
        <f>Dubbing!$AE$13</f>
        <v>1</v>
      </c>
      <c r="K151" s="382">
        <f>Dubbing!$AF$13</f>
        <v>0.5</v>
      </c>
      <c r="L151" s="382" t="str">
        <f>Dubbing!$AH$13</f>
        <v>Workflow</v>
      </c>
      <c r="M151" s="407">
        <f>Dubbing!$AI$13</f>
        <v>0.1</v>
      </c>
      <c r="N151" s="391" t="str">
        <f>Dubbing!$AJ$13</f>
        <v>Note 3</v>
      </c>
    </row>
    <row r="152" spans="1:14" x14ac:dyDescent="0.35">
      <c r="A152" s="371" t="str">
        <f>'Summary (READ FIRST)'!$B$8</f>
        <v>Supplier 1</v>
      </c>
      <c r="B152" s="366" t="str">
        <f>'Summary (READ FIRST)'!$B$11</f>
        <v>English</v>
      </c>
      <c r="C152" s="366" t="s">
        <v>35</v>
      </c>
      <c r="D152" s="366" t="s">
        <v>25</v>
      </c>
      <c r="E152" s="366" t="s">
        <v>16</v>
      </c>
      <c r="F152" s="366" t="s">
        <v>36</v>
      </c>
      <c r="G152" s="382">
        <f>Dubbing!E14</f>
        <v>62</v>
      </c>
      <c r="H152" s="382">
        <f>Dubbing!G14</f>
        <v>0</v>
      </c>
      <c r="I152" s="382"/>
      <c r="J152" s="382">
        <f>Dubbing!$AE$14</f>
        <v>0</v>
      </c>
      <c r="K152" s="382">
        <f>Dubbing!$AF$14</f>
        <v>0.5</v>
      </c>
      <c r="L152" s="382" t="str">
        <f>Dubbing!$AH$14</f>
        <v>Automated system</v>
      </c>
      <c r="M152" s="407">
        <f>Dubbing!$AI$14</f>
        <v>0.2</v>
      </c>
      <c r="N152" s="391" t="str">
        <f>Dubbing!$AJ$14</f>
        <v>Note 3</v>
      </c>
    </row>
    <row r="153" spans="1:14" x14ac:dyDescent="0.35">
      <c r="A153" s="368" t="str">
        <f>'Summary (READ FIRST)'!$B$8</f>
        <v>Supplier 1</v>
      </c>
      <c r="B153" s="367" t="str">
        <f>'Summary (READ FIRST)'!$B$11</f>
        <v>English</v>
      </c>
      <c r="C153" s="367" t="s">
        <v>35</v>
      </c>
      <c r="D153" s="367" t="s">
        <v>25</v>
      </c>
      <c r="E153" s="367" t="s">
        <v>16</v>
      </c>
      <c r="F153" s="367" t="s">
        <v>37</v>
      </c>
      <c r="G153" s="382">
        <f>Dubbing!F14</f>
        <v>114</v>
      </c>
      <c r="H153" s="382">
        <f>Dubbing!H14</f>
        <v>0</v>
      </c>
      <c r="I153" s="382"/>
      <c r="J153" s="382">
        <f>Dubbing!$AE$14</f>
        <v>0</v>
      </c>
      <c r="K153" s="382">
        <f>Dubbing!$AF$14</f>
        <v>0.5</v>
      </c>
      <c r="L153" s="382" t="str">
        <f>Dubbing!$AH$14</f>
        <v>Automated system</v>
      </c>
      <c r="M153" s="407">
        <f>Dubbing!$AI$14</f>
        <v>0.2</v>
      </c>
      <c r="N153" s="391" t="str">
        <f>Dubbing!$AJ$14</f>
        <v>Note 3</v>
      </c>
    </row>
    <row r="154" spans="1:14" x14ac:dyDescent="0.35">
      <c r="A154" s="368" t="str">
        <f>'Summary (READ FIRST)'!$B$8</f>
        <v>Supplier 1</v>
      </c>
      <c r="B154" s="367" t="str">
        <f>'Summary (READ FIRST)'!$B$11</f>
        <v>English</v>
      </c>
      <c r="C154" s="367" t="s">
        <v>35</v>
      </c>
      <c r="D154" s="367" t="s">
        <v>25</v>
      </c>
      <c r="E154" s="367" t="s">
        <v>16</v>
      </c>
      <c r="F154" s="367" t="s">
        <v>38</v>
      </c>
      <c r="G154" s="382">
        <f>Dubbing!J14</f>
        <v>0</v>
      </c>
      <c r="H154" s="382">
        <f>Dubbing!L14</f>
        <v>78</v>
      </c>
      <c r="I154" s="382"/>
      <c r="J154" s="382">
        <f>Dubbing!$AE$14</f>
        <v>0</v>
      </c>
      <c r="K154" s="382">
        <f>Dubbing!$AF$14</f>
        <v>0.5</v>
      </c>
      <c r="L154" s="382" t="str">
        <f>Dubbing!$AH$14</f>
        <v>Automated system</v>
      </c>
      <c r="M154" s="407">
        <f>Dubbing!$AI$14</f>
        <v>0.2</v>
      </c>
      <c r="N154" s="391" t="str">
        <f>Dubbing!$AJ$14</f>
        <v>Note 3</v>
      </c>
    </row>
    <row r="155" spans="1:14" x14ac:dyDescent="0.35">
      <c r="A155" s="368" t="str">
        <f>'Summary (READ FIRST)'!$B$8</f>
        <v>Supplier 1</v>
      </c>
      <c r="B155" s="367" t="str">
        <f>'Summary (READ FIRST)'!$B$11</f>
        <v>English</v>
      </c>
      <c r="C155" s="367" t="s">
        <v>35</v>
      </c>
      <c r="D155" s="367" t="s">
        <v>25</v>
      </c>
      <c r="E155" s="367" t="s">
        <v>16</v>
      </c>
      <c r="F155" s="367" t="s">
        <v>39</v>
      </c>
      <c r="G155" s="382">
        <f>Dubbing!K14</f>
        <v>0</v>
      </c>
      <c r="H155" s="382">
        <f>Dubbing!M14</f>
        <v>63</v>
      </c>
      <c r="I155" s="382"/>
      <c r="J155" s="382">
        <f>Dubbing!$AE$14</f>
        <v>0</v>
      </c>
      <c r="K155" s="382">
        <f>Dubbing!$AF$14</f>
        <v>0.5</v>
      </c>
      <c r="L155" s="382" t="str">
        <f>Dubbing!$AH$14</f>
        <v>Automated system</v>
      </c>
      <c r="M155" s="407">
        <f>Dubbing!$AI$14</f>
        <v>0.2</v>
      </c>
      <c r="N155" s="391" t="str">
        <f>Dubbing!$AJ$14</f>
        <v>Note 3</v>
      </c>
    </row>
    <row r="156" spans="1:14" x14ac:dyDescent="0.35">
      <c r="A156" s="368" t="str">
        <f>'Summary (READ FIRST)'!$B$8</f>
        <v>Supplier 1</v>
      </c>
      <c r="B156" s="367" t="str">
        <f>'Summary (READ FIRST)'!$B$11</f>
        <v>English</v>
      </c>
      <c r="C156" s="367" t="s">
        <v>35</v>
      </c>
      <c r="D156" s="367" t="s">
        <v>25</v>
      </c>
      <c r="E156" s="367" t="s">
        <v>16</v>
      </c>
      <c r="F156" s="367" t="s">
        <v>40</v>
      </c>
      <c r="G156" s="382">
        <f>Dubbing!O14</f>
        <v>62</v>
      </c>
      <c r="H156" s="382">
        <f>Dubbing!Q14</f>
        <v>56</v>
      </c>
      <c r="I156" s="382"/>
      <c r="J156" s="382">
        <f>Dubbing!$AE$14</f>
        <v>0</v>
      </c>
      <c r="K156" s="382">
        <f>Dubbing!$AF$14</f>
        <v>0.5</v>
      </c>
      <c r="L156" s="382" t="str">
        <f>Dubbing!$AH$14</f>
        <v>Automated system</v>
      </c>
      <c r="M156" s="407">
        <f>Dubbing!$AI$14</f>
        <v>0.2</v>
      </c>
      <c r="N156" s="391" t="str">
        <f>Dubbing!$AJ$14</f>
        <v>Note 3</v>
      </c>
    </row>
    <row r="157" spans="1:14" x14ac:dyDescent="0.35">
      <c r="A157" s="368" t="str">
        <f>'Summary (READ FIRST)'!$B$8</f>
        <v>Supplier 1</v>
      </c>
      <c r="B157" s="367" t="str">
        <f>'Summary (READ FIRST)'!$B$11</f>
        <v>English</v>
      </c>
      <c r="C157" s="367" t="s">
        <v>35</v>
      </c>
      <c r="D157" s="367" t="s">
        <v>25</v>
      </c>
      <c r="E157" s="367" t="s">
        <v>16</v>
      </c>
      <c r="F157" s="367" t="s">
        <v>41</v>
      </c>
      <c r="G157" s="382">
        <f>Dubbing!P14</f>
        <v>96</v>
      </c>
      <c r="H157" s="382">
        <f>Dubbing!R14</f>
        <v>34</v>
      </c>
      <c r="I157" s="382"/>
      <c r="J157" s="382">
        <f>Dubbing!$AE$14</f>
        <v>0</v>
      </c>
      <c r="K157" s="382">
        <f>Dubbing!$AF$14</f>
        <v>0.5</v>
      </c>
      <c r="L157" s="382" t="str">
        <f>Dubbing!$AH$14</f>
        <v>Automated system</v>
      </c>
      <c r="M157" s="407">
        <f>Dubbing!$AI$14</f>
        <v>0.2</v>
      </c>
      <c r="N157" s="391" t="str">
        <f>Dubbing!$AJ$14</f>
        <v>Note 3</v>
      </c>
    </row>
    <row r="158" spans="1:14" x14ac:dyDescent="0.35">
      <c r="A158" s="368" t="str">
        <f>'Summary (READ FIRST)'!$B$8</f>
        <v>Supplier 1</v>
      </c>
      <c r="B158" s="367" t="str">
        <f>'Summary (READ FIRST)'!$B$11</f>
        <v>English</v>
      </c>
      <c r="C158" s="367" t="s">
        <v>35</v>
      </c>
      <c r="D158" s="367" t="s">
        <v>25</v>
      </c>
      <c r="E158" s="367" t="s">
        <v>20</v>
      </c>
      <c r="F158" s="367" t="s">
        <v>42</v>
      </c>
      <c r="G158" s="382">
        <f>Dubbing!T14</f>
        <v>90</v>
      </c>
      <c r="H158" s="382">
        <f>Dubbing!V14</f>
        <v>0</v>
      </c>
      <c r="I158" s="384">
        <f>Dubbing!X14</f>
        <v>53</v>
      </c>
      <c r="J158" s="382">
        <f>Dubbing!$AE$14</f>
        <v>0</v>
      </c>
      <c r="K158" s="382">
        <f>Dubbing!$AF$14</f>
        <v>0.5</v>
      </c>
      <c r="L158" s="382" t="str">
        <f>Dubbing!$AH$14</f>
        <v>Automated system</v>
      </c>
      <c r="M158" s="407">
        <f>Dubbing!$AI$14</f>
        <v>0.2</v>
      </c>
      <c r="N158" s="391" t="str">
        <f>Dubbing!$AJ$14</f>
        <v>Note 3</v>
      </c>
    </row>
    <row r="159" spans="1:14" x14ac:dyDescent="0.35">
      <c r="A159" s="368" t="str">
        <f>'Summary (READ FIRST)'!$B$8</f>
        <v>Supplier 1</v>
      </c>
      <c r="B159" s="367" t="str">
        <f>'Summary (READ FIRST)'!$B$11</f>
        <v>English</v>
      </c>
      <c r="C159" s="367" t="s">
        <v>35</v>
      </c>
      <c r="D159" s="367" t="s">
        <v>25</v>
      </c>
      <c r="E159" s="367" t="s">
        <v>20</v>
      </c>
      <c r="F159" s="367" t="s">
        <v>43</v>
      </c>
      <c r="G159" s="382">
        <f>Dubbing!U14</f>
        <v>102</v>
      </c>
      <c r="H159" s="382">
        <f>Dubbing!W14</f>
        <v>56</v>
      </c>
      <c r="I159" s="384">
        <f>Dubbing!Y14</f>
        <v>106</v>
      </c>
      <c r="J159" s="382">
        <f>Dubbing!$AE$14</f>
        <v>0</v>
      </c>
      <c r="K159" s="382">
        <f>Dubbing!$AF$14</f>
        <v>0.5</v>
      </c>
      <c r="L159" s="382" t="str">
        <f>Dubbing!$AH$14</f>
        <v>Automated system</v>
      </c>
      <c r="M159" s="407">
        <f>Dubbing!$AI$14</f>
        <v>0.2</v>
      </c>
      <c r="N159" s="391" t="str">
        <f>Dubbing!$AJ$14</f>
        <v>Note 3</v>
      </c>
    </row>
    <row r="160" spans="1:14" x14ac:dyDescent="0.35">
      <c r="A160" s="368" t="str">
        <f>'Summary (READ FIRST)'!$B$8</f>
        <v>Supplier 1</v>
      </c>
      <c r="B160" s="367" t="str">
        <f>'Summary (READ FIRST)'!$B$11</f>
        <v>English</v>
      </c>
      <c r="C160" s="367" t="s">
        <v>35</v>
      </c>
      <c r="D160" s="367" t="s">
        <v>25</v>
      </c>
      <c r="E160" s="367" t="s">
        <v>20</v>
      </c>
      <c r="F160" s="367" t="s">
        <v>23</v>
      </c>
      <c r="G160" s="382">
        <f>Dubbing!AA14</f>
        <v>104</v>
      </c>
      <c r="H160" s="382">
        <f>Dubbing!AB14</f>
        <v>28</v>
      </c>
      <c r="I160" s="384">
        <f>Dubbing!AC14</f>
        <v>98</v>
      </c>
      <c r="J160" s="382">
        <f>Dubbing!$AE$14</f>
        <v>0</v>
      </c>
      <c r="K160" s="382">
        <f>Dubbing!$AF$14</f>
        <v>0.5</v>
      </c>
      <c r="L160" s="382" t="str">
        <f>Dubbing!$AH$14</f>
        <v>Automated system</v>
      </c>
      <c r="M160" s="407">
        <f>Dubbing!$AI$14</f>
        <v>0.2</v>
      </c>
      <c r="N160" s="391" t="str">
        <f>Dubbing!$AJ$14</f>
        <v>Note 3</v>
      </c>
    </row>
    <row r="161" spans="1:14" x14ac:dyDescent="0.35">
      <c r="A161" s="371" t="str">
        <f>'Summary (READ FIRST)'!$B$8</f>
        <v>Supplier 1</v>
      </c>
      <c r="B161" s="366" t="str">
        <f>'Summary (READ FIRST)'!$B$11</f>
        <v>English</v>
      </c>
      <c r="C161" s="366" t="s">
        <v>35</v>
      </c>
      <c r="D161" s="366" t="s">
        <v>26</v>
      </c>
      <c r="E161" s="366" t="s">
        <v>16</v>
      </c>
      <c r="F161" s="366" t="s">
        <v>36</v>
      </c>
      <c r="G161" s="382">
        <f>Dubbing!E15</f>
        <v>0</v>
      </c>
      <c r="H161" s="382">
        <f>Dubbing!G15</f>
        <v>35</v>
      </c>
      <c r="I161" s="382"/>
      <c r="J161" s="382">
        <f>Dubbing!$AE$15</f>
        <v>1</v>
      </c>
      <c r="K161" s="382">
        <f>Dubbing!$AF$15</f>
        <v>0.5</v>
      </c>
      <c r="L161" s="382">
        <f>Dubbing!$AH$15</f>
        <v>0</v>
      </c>
      <c r="M161" s="407">
        <f>Dubbing!$AI$15</f>
        <v>0</v>
      </c>
      <c r="N161" s="391">
        <f>Dubbing!$AJ$15</f>
        <v>0</v>
      </c>
    </row>
    <row r="162" spans="1:14" x14ac:dyDescent="0.35">
      <c r="A162" s="368" t="str">
        <f>'Summary (READ FIRST)'!$B$8</f>
        <v>Supplier 1</v>
      </c>
      <c r="B162" s="367" t="str">
        <f>'Summary (READ FIRST)'!$B$11</f>
        <v>English</v>
      </c>
      <c r="C162" s="367" t="s">
        <v>35</v>
      </c>
      <c r="D162" s="367" t="s">
        <v>26</v>
      </c>
      <c r="E162" s="367" t="s">
        <v>16</v>
      </c>
      <c r="F162" s="367" t="s">
        <v>37</v>
      </c>
      <c r="G162" s="382">
        <f>Dubbing!F15</f>
        <v>0</v>
      </c>
      <c r="H162" s="382">
        <f>Dubbing!H15</f>
        <v>66</v>
      </c>
      <c r="I162" s="382"/>
      <c r="J162" s="382">
        <f>Dubbing!$AE$15</f>
        <v>1</v>
      </c>
      <c r="K162" s="382">
        <f>Dubbing!$AF$15</f>
        <v>0.5</v>
      </c>
      <c r="L162" s="382">
        <f>Dubbing!$AH$15</f>
        <v>0</v>
      </c>
      <c r="M162" s="407">
        <f>Dubbing!$AI$15</f>
        <v>0</v>
      </c>
      <c r="N162" s="391">
        <f>Dubbing!$AJ$15</f>
        <v>0</v>
      </c>
    </row>
    <row r="163" spans="1:14" x14ac:dyDescent="0.35">
      <c r="A163" s="368" t="str">
        <f>'Summary (READ FIRST)'!$B$8</f>
        <v>Supplier 1</v>
      </c>
      <c r="B163" s="367" t="str">
        <f>'Summary (READ FIRST)'!$B$11</f>
        <v>English</v>
      </c>
      <c r="C163" s="367" t="s">
        <v>35</v>
      </c>
      <c r="D163" s="367" t="s">
        <v>26</v>
      </c>
      <c r="E163" s="367" t="s">
        <v>16</v>
      </c>
      <c r="F163" s="367" t="s">
        <v>38</v>
      </c>
      <c r="G163" s="382">
        <f>Dubbing!J15</f>
        <v>54</v>
      </c>
      <c r="H163" s="382">
        <f>Dubbing!L15</f>
        <v>27</v>
      </c>
      <c r="I163" s="382"/>
      <c r="J163" s="382">
        <f>Dubbing!$AE$15</f>
        <v>1</v>
      </c>
      <c r="K163" s="382">
        <f>Dubbing!$AF$15</f>
        <v>0.5</v>
      </c>
      <c r="L163" s="382">
        <f>Dubbing!$AH$15</f>
        <v>0</v>
      </c>
      <c r="M163" s="407">
        <f>Dubbing!$AI$15</f>
        <v>0</v>
      </c>
      <c r="N163" s="391">
        <f>Dubbing!$AJ$15</f>
        <v>0</v>
      </c>
    </row>
    <row r="164" spans="1:14" x14ac:dyDescent="0.35">
      <c r="A164" s="368" t="str">
        <f>'Summary (READ FIRST)'!$B$8</f>
        <v>Supplier 1</v>
      </c>
      <c r="B164" s="367" t="str">
        <f>'Summary (READ FIRST)'!$B$11</f>
        <v>English</v>
      </c>
      <c r="C164" s="367" t="s">
        <v>35</v>
      </c>
      <c r="D164" s="367" t="s">
        <v>26</v>
      </c>
      <c r="E164" s="367" t="s">
        <v>16</v>
      </c>
      <c r="F164" s="367" t="s">
        <v>39</v>
      </c>
      <c r="G164" s="382">
        <f>Dubbing!K15</f>
        <v>108</v>
      </c>
      <c r="H164" s="382">
        <f>Dubbing!M15</f>
        <v>56</v>
      </c>
      <c r="I164" s="382"/>
      <c r="J164" s="382">
        <f>Dubbing!$AE$15</f>
        <v>1</v>
      </c>
      <c r="K164" s="382">
        <f>Dubbing!$AF$15</f>
        <v>0.5</v>
      </c>
      <c r="L164" s="382">
        <f>Dubbing!$AH$15</f>
        <v>0</v>
      </c>
      <c r="M164" s="407">
        <f>Dubbing!$AI$15</f>
        <v>0</v>
      </c>
      <c r="N164" s="391">
        <f>Dubbing!$AJ$15</f>
        <v>0</v>
      </c>
    </row>
    <row r="165" spans="1:14" x14ac:dyDescent="0.35">
      <c r="A165" s="368" t="str">
        <f>'Summary (READ FIRST)'!$B$8</f>
        <v>Supplier 1</v>
      </c>
      <c r="B165" s="367" t="str">
        <f>'Summary (READ FIRST)'!$B$11</f>
        <v>English</v>
      </c>
      <c r="C165" s="367" t="s">
        <v>35</v>
      </c>
      <c r="D165" s="367" t="s">
        <v>26</v>
      </c>
      <c r="E165" s="367" t="s">
        <v>16</v>
      </c>
      <c r="F165" s="367" t="s">
        <v>40</v>
      </c>
      <c r="G165" s="382">
        <f>Dubbing!O15</f>
        <v>0</v>
      </c>
      <c r="H165" s="382">
        <f>Dubbing!Q15</f>
        <v>37</v>
      </c>
      <c r="I165" s="382"/>
      <c r="J165" s="382">
        <f>Dubbing!$AE$15</f>
        <v>1</v>
      </c>
      <c r="K165" s="382">
        <f>Dubbing!$AF$15</f>
        <v>0.5</v>
      </c>
      <c r="L165" s="382">
        <f>Dubbing!$AH$15</f>
        <v>0</v>
      </c>
      <c r="M165" s="407">
        <f>Dubbing!$AI$15</f>
        <v>0</v>
      </c>
      <c r="N165" s="391">
        <f>Dubbing!$AJ$15</f>
        <v>0</v>
      </c>
    </row>
    <row r="166" spans="1:14" x14ac:dyDescent="0.35">
      <c r="A166" s="368" t="str">
        <f>'Summary (READ FIRST)'!$B$8</f>
        <v>Supplier 1</v>
      </c>
      <c r="B166" s="367" t="str">
        <f>'Summary (READ FIRST)'!$B$11</f>
        <v>English</v>
      </c>
      <c r="C166" s="367" t="s">
        <v>35</v>
      </c>
      <c r="D166" s="367" t="s">
        <v>26</v>
      </c>
      <c r="E166" s="367" t="s">
        <v>16</v>
      </c>
      <c r="F166" s="367" t="s">
        <v>41</v>
      </c>
      <c r="G166" s="382">
        <f>Dubbing!P15</f>
        <v>0</v>
      </c>
      <c r="H166" s="382">
        <f>Dubbing!R15</f>
        <v>55</v>
      </c>
      <c r="I166" s="382"/>
      <c r="J166" s="382">
        <f>Dubbing!$AE$15</f>
        <v>1</v>
      </c>
      <c r="K166" s="382">
        <f>Dubbing!$AF$15</f>
        <v>0.5</v>
      </c>
      <c r="L166" s="382">
        <f>Dubbing!$AH$15</f>
        <v>0</v>
      </c>
      <c r="M166" s="407">
        <f>Dubbing!$AI$15</f>
        <v>0</v>
      </c>
      <c r="N166" s="391">
        <f>Dubbing!$AJ$15</f>
        <v>0</v>
      </c>
    </row>
    <row r="167" spans="1:14" x14ac:dyDescent="0.35">
      <c r="A167" s="368" t="str">
        <f>'Summary (READ FIRST)'!$B$8</f>
        <v>Supplier 1</v>
      </c>
      <c r="B167" s="367" t="str">
        <f>'Summary (READ FIRST)'!$B$11</f>
        <v>English</v>
      </c>
      <c r="C167" s="367" t="s">
        <v>35</v>
      </c>
      <c r="D167" s="367" t="s">
        <v>26</v>
      </c>
      <c r="E167" s="367" t="s">
        <v>20</v>
      </c>
      <c r="F167" s="367" t="s">
        <v>42</v>
      </c>
      <c r="G167" s="382">
        <f>Dubbing!T15</f>
        <v>91</v>
      </c>
      <c r="H167" s="382">
        <f>Dubbing!V15</f>
        <v>76</v>
      </c>
      <c r="I167" s="384">
        <f>Dubbing!X15</f>
        <v>90</v>
      </c>
      <c r="J167" s="382">
        <f>Dubbing!$AE$15</f>
        <v>1</v>
      </c>
      <c r="K167" s="382">
        <f>Dubbing!$AF$15</f>
        <v>0.5</v>
      </c>
      <c r="L167" s="382">
        <f>Dubbing!$AH$15</f>
        <v>0</v>
      </c>
      <c r="M167" s="407">
        <f>Dubbing!$AI$15</f>
        <v>0</v>
      </c>
      <c r="N167" s="391">
        <f>Dubbing!$AJ$15</f>
        <v>0</v>
      </c>
    </row>
    <row r="168" spans="1:14" x14ac:dyDescent="0.35">
      <c r="A168" s="368" t="str">
        <f>'Summary (READ FIRST)'!$B$8</f>
        <v>Supplier 1</v>
      </c>
      <c r="B168" s="367" t="str">
        <f>'Summary (READ FIRST)'!$B$11</f>
        <v>English</v>
      </c>
      <c r="C168" s="367" t="s">
        <v>35</v>
      </c>
      <c r="D168" s="367" t="s">
        <v>26</v>
      </c>
      <c r="E168" s="367" t="s">
        <v>20</v>
      </c>
      <c r="F168" s="367" t="s">
        <v>43</v>
      </c>
      <c r="G168" s="382">
        <f>Dubbing!U15</f>
        <v>64</v>
      </c>
      <c r="H168" s="382">
        <f>Dubbing!W15</f>
        <v>52</v>
      </c>
      <c r="I168" s="384">
        <f>Dubbing!Y15</f>
        <v>62</v>
      </c>
      <c r="J168" s="382">
        <f>Dubbing!$AE$15</f>
        <v>1</v>
      </c>
      <c r="K168" s="382">
        <f>Dubbing!$AF$15</f>
        <v>0.5</v>
      </c>
      <c r="L168" s="382">
        <f>Dubbing!$AH$15</f>
        <v>0</v>
      </c>
      <c r="M168" s="407">
        <f>Dubbing!$AI$15</f>
        <v>0</v>
      </c>
      <c r="N168" s="391">
        <f>Dubbing!$AJ$15</f>
        <v>0</v>
      </c>
    </row>
    <row r="169" spans="1:14" x14ac:dyDescent="0.35">
      <c r="A169" s="368" t="str">
        <f>'Summary (READ FIRST)'!$B$8</f>
        <v>Supplier 1</v>
      </c>
      <c r="B169" s="367" t="str">
        <f>'Summary (READ FIRST)'!$B$11</f>
        <v>English</v>
      </c>
      <c r="C169" s="367" t="s">
        <v>35</v>
      </c>
      <c r="D169" s="367" t="s">
        <v>26</v>
      </c>
      <c r="E169" s="367" t="s">
        <v>20</v>
      </c>
      <c r="F169" s="367" t="s">
        <v>23</v>
      </c>
      <c r="G169" s="382">
        <f>Dubbing!AA15</f>
        <v>101</v>
      </c>
      <c r="H169" s="382">
        <f>Dubbing!AB15</f>
        <v>40</v>
      </c>
      <c r="I169" s="384">
        <f>Dubbing!AC15</f>
        <v>78</v>
      </c>
      <c r="J169" s="382">
        <f>Dubbing!$AE$15</f>
        <v>1</v>
      </c>
      <c r="K169" s="382">
        <f>Dubbing!$AF$15</f>
        <v>0.5</v>
      </c>
      <c r="L169" s="382">
        <f>Dubbing!$AH$15</f>
        <v>0</v>
      </c>
      <c r="M169" s="407">
        <f>Dubbing!$AI$15</f>
        <v>0</v>
      </c>
      <c r="N169" s="391">
        <f>Dubbing!$AJ$15</f>
        <v>0</v>
      </c>
    </row>
    <row r="170" spans="1:14" x14ac:dyDescent="0.35">
      <c r="A170" s="371" t="str">
        <f>'Summary (READ FIRST)'!$B$8</f>
        <v>Supplier 1</v>
      </c>
      <c r="B170" s="366" t="str">
        <f>'Summary (READ FIRST)'!$B$11</f>
        <v>English</v>
      </c>
      <c r="C170" s="366" t="s">
        <v>35</v>
      </c>
      <c r="D170" s="366" t="s">
        <v>27</v>
      </c>
      <c r="E170" s="366" t="s">
        <v>16</v>
      </c>
      <c r="F170" s="366" t="s">
        <v>36</v>
      </c>
      <c r="G170" s="382">
        <f>Dubbing!E16</f>
        <v>51</v>
      </c>
      <c r="H170" s="382">
        <f>Dubbing!G16</f>
        <v>54</v>
      </c>
      <c r="I170" s="382"/>
      <c r="J170" s="382">
        <f>Dubbing!$AE$16</f>
        <v>1</v>
      </c>
      <c r="K170" s="382">
        <f>Dubbing!$AF$16</f>
        <v>0</v>
      </c>
      <c r="L170" s="382" t="str">
        <f>Dubbing!$AH$16</f>
        <v>Automated system</v>
      </c>
      <c r="M170" s="407">
        <f>Dubbing!$AI$16</f>
        <v>0.1</v>
      </c>
      <c r="N170" s="391" t="str">
        <f>Dubbing!$AJ$16</f>
        <v>Note 3</v>
      </c>
    </row>
    <row r="171" spans="1:14" x14ac:dyDescent="0.35">
      <c r="A171" s="368" t="str">
        <f>'Summary (READ FIRST)'!$B$8</f>
        <v>Supplier 1</v>
      </c>
      <c r="B171" s="367" t="str">
        <f>'Summary (READ FIRST)'!$B$11</f>
        <v>English</v>
      </c>
      <c r="C171" s="367" t="s">
        <v>35</v>
      </c>
      <c r="D171" s="367" t="s">
        <v>27</v>
      </c>
      <c r="E171" s="367" t="s">
        <v>16</v>
      </c>
      <c r="F171" s="367" t="s">
        <v>37</v>
      </c>
      <c r="G171" s="382">
        <f>Dubbing!F16</f>
        <v>50</v>
      </c>
      <c r="H171" s="382">
        <f>Dubbing!H16</f>
        <v>37</v>
      </c>
      <c r="I171" s="382"/>
      <c r="J171" s="382">
        <f>Dubbing!$AE$16</f>
        <v>1</v>
      </c>
      <c r="K171" s="382">
        <f>Dubbing!$AF$16</f>
        <v>0</v>
      </c>
      <c r="L171" s="382" t="str">
        <f>Dubbing!$AH$16</f>
        <v>Automated system</v>
      </c>
      <c r="M171" s="407">
        <f>Dubbing!$AI$16</f>
        <v>0.1</v>
      </c>
      <c r="N171" s="391" t="str">
        <f>Dubbing!$AJ$16</f>
        <v>Note 3</v>
      </c>
    </row>
    <row r="172" spans="1:14" x14ac:dyDescent="0.35">
      <c r="A172" s="368" t="str">
        <f>'Summary (READ FIRST)'!$B$8</f>
        <v>Supplier 1</v>
      </c>
      <c r="B172" s="367" t="str">
        <f>'Summary (READ FIRST)'!$B$11</f>
        <v>English</v>
      </c>
      <c r="C172" s="367" t="s">
        <v>35</v>
      </c>
      <c r="D172" s="367" t="s">
        <v>27</v>
      </c>
      <c r="E172" s="367" t="s">
        <v>16</v>
      </c>
      <c r="F172" s="367" t="s">
        <v>38</v>
      </c>
      <c r="G172" s="382">
        <f>Dubbing!J16</f>
        <v>78</v>
      </c>
      <c r="H172" s="382">
        <f>Dubbing!L16</f>
        <v>29</v>
      </c>
      <c r="I172" s="382"/>
      <c r="J172" s="382">
        <f>Dubbing!$AE$16</f>
        <v>1</v>
      </c>
      <c r="K172" s="382">
        <f>Dubbing!$AF$16</f>
        <v>0</v>
      </c>
      <c r="L172" s="382" t="str">
        <f>Dubbing!$AH$16</f>
        <v>Automated system</v>
      </c>
      <c r="M172" s="407">
        <f>Dubbing!$AI$16</f>
        <v>0.1</v>
      </c>
      <c r="N172" s="391" t="str">
        <f>Dubbing!$AJ$16</f>
        <v>Note 3</v>
      </c>
    </row>
    <row r="173" spans="1:14" x14ac:dyDescent="0.35">
      <c r="A173" s="368" t="str">
        <f>'Summary (READ FIRST)'!$B$8</f>
        <v>Supplier 1</v>
      </c>
      <c r="B173" s="367" t="str">
        <f>'Summary (READ FIRST)'!$B$11</f>
        <v>English</v>
      </c>
      <c r="C173" s="367" t="s">
        <v>35</v>
      </c>
      <c r="D173" s="367" t="s">
        <v>27</v>
      </c>
      <c r="E173" s="367" t="s">
        <v>16</v>
      </c>
      <c r="F173" s="367" t="s">
        <v>39</v>
      </c>
      <c r="G173" s="382">
        <f>Dubbing!K16</f>
        <v>119</v>
      </c>
      <c r="H173" s="382">
        <f>Dubbing!M16</f>
        <v>0</v>
      </c>
      <c r="I173" s="382"/>
      <c r="J173" s="382">
        <f>Dubbing!$AE$16</f>
        <v>1</v>
      </c>
      <c r="K173" s="382">
        <f>Dubbing!$AF$16</f>
        <v>0</v>
      </c>
      <c r="L173" s="382" t="str">
        <f>Dubbing!$AH$16</f>
        <v>Automated system</v>
      </c>
      <c r="M173" s="407">
        <f>Dubbing!$AI$16</f>
        <v>0.1</v>
      </c>
      <c r="N173" s="391" t="str">
        <f>Dubbing!$AJ$16</f>
        <v>Note 3</v>
      </c>
    </row>
    <row r="174" spans="1:14" x14ac:dyDescent="0.35">
      <c r="A174" s="368" t="str">
        <f>'Summary (READ FIRST)'!$B$8</f>
        <v>Supplier 1</v>
      </c>
      <c r="B174" s="367" t="str">
        <f>'Summary (READ FIRST)'!$B$11</f>
        <v>English</v>
      </c>
      <c r="C174" s="367" t="s">
        <v>35</v>
      </c>
      <c r="D174" s="367" t="s">
        <v>27</v>
      </c>
      <c r="E174" s="367" t="s">
        <v>16</v>
      </c>
      <c r="F174" s="367" t="s">
        <v>40</v>
      </c>
      <c r="G174" s="382">
        <f>Dubbing!O16</f>
        <v>70</v>
      </c>
      <c r="H174" s="382">
        <f>Dubbing!Q16</f>
        <v>63</v>
      </c>
      <c r="I174" s="382"/>
      <c r="J174" s="382">
        <f>Dubbing!$AE$16</f>
        <v>1</v>
      </c>
      <c r="K174" s="382">
        <f>Dubbing!$AF$16</f>
        <v>0</v>
      </c>
      <c r="L174" s="382" t="str">
        <f>Dubbing!$AH$16</f>
        <v>Automated system</v>
      </c>
      <c r="M174" s="407">
        <f>Dubbing!$AI$16</f>
        <v>0.1</v>
      </c>
      <c r="N174" s="391" t="str">
        <f>Dubbing!$AJ$16</f>
        <v>Note 3</v>
      </c>
    </row>
    <row r="175" spans="1:14" x14ac:dyDescent="0.35">
      <c r="A175" s="368" t="str">
        <f>'Summary (READ FIRST)'!$B$8</f>
        <v>Supplier 1</v>
      </c>
      <c r="B175" s="367" t="str">
        <f>'Summary (READ FIRST)'!$B$11</f>
        <v>English</v>
      </c>
      <c r="C175" s="367" t="s">
        <v>35</v>
      </c>
      <c r="D175" s="367" t="s">
        <v>27</v>
      </c>
      <c r="E175" s="367" t="s">
        <v>16</v>
      </c>
      <c r="F175" s="367" t="s">
        <v>41</v>
      </c>
      <c r="G175" s="382">
        <f>Dubbing!P16</f>
        <v>87</v>
      </c>
      <c r="H175" s="382">
        <f>Dubbing!R16</f>
        <v>69</v>
      </c>
      <c r="I175" s="382"/>
      <c r="J175" s="382">
        <f>Dubbing!$AE$16</f>
        <v>1</v>
      </c>
      <c r="K175" s="382">
        <f>Dubbing!$AF$16</f>
        <v>0</v>
      </c>
      <c r="L175" s="382" t="str">
        <f>Dubbing!$AH$16</f>
        <v>Automated system</v>
      </c>
      <c r="M175" s="407">
        <f>Dubbing!$AI$16</f>
        <v>0.1</v>
      </c>
      <c r="N175" s="391" t="str">
        <f>Dubbing!$AJ$16</f>
        <v>Note 3</v>
      </c>
    </row>
    <row r="176" spans="1:14" x14ac:dyDescent="0.35">
      <c r="A176" s="368" t="str">
        <f>'Summary (READ FIRST)'!$B$8</f>
        <v>Supplier 1</v>
      </c>
      <c r="B176" s="367" t="str">
        <f>'Summary (READ FIRST)'!$B$11</f>
        <v>English</v>
      </c>
      <c r="C176" s="367" t="s">
        <v>35</v>
      </c>
      <c r="D176" s="367" t="s">
        <v>27</v>
      </c>
      <c r="E176" s="367" t="s">
        <v>20</v>
      </c>
      <c r="F176" s="367" t="s">
        <v>42</v>
      </c>
      <c r="G176" s="382">
        <f>Dubbing!T16</f>
        <v>85</v>
      </c>
      <c r="H176" s="382">
        <f>Dubbing!V16</f>
        <v>74</v>
      </c>
      <c r="I176" s="384">
        <f>Dubbing!X16</f>
        <v>0</v>
      </c>
      <c r="J176" s="382">
        <f>Dubbing!$AE$16</f>
        <v>1</v>
      </c>
      <c r="K176" s="382">
        <f>Dubbing!$AF$16</f>
        <v>0</v>
      </c>
      <c r="L176" s="382" t="str">
        <f>Dubbing!$AH$16</f>
        <v>Automated system</v>
      </c>
      <c r="M176" s="407">
        <f>Dubbing!$AI$16</f>
        <v>0.1</v>
      </c>
      <c r="N176" s="391" t="str">
        <f>Dubbing!$AJ$16</f>
        <v>Note 3</v>
      </c>
    </row>
    <row r="177" spans="1:14" x14ac:dyDescent="0.35">
      <c r="A177" s="368" t="str">
        <f>'Summary (READ FIRST)'!$B$8</f>
        <v>Supplier 1</v>
      </c>
      <c r="B177" s="367" t="str">
        <f>'Summary (READ FIRST)'!$B$11</f>
        <v>English</v>
      </c>
      <c r="C177" s="367" t="s">
        <v>35</v>
      </c>
      <c r="D177" s="367" t="s">
        <v>27</v>
      </c>
      <c r="E177" s="367" t="s">
        <v>20</v>
      </c>
      <c r="F177" s="367" t="s">
        <v>43</v>
      </c>
      <c r="G177" s="382">
        <f>Dubbing!U16</f>
        <v>119</v>
      </c>
      <c r="H177" s="382">
        <f>Dubbing!W16</f>
        <v>0</v>
      </c>
      <c r="I177" s="384">
        <f>Dubbing!Y16</f>
        <v>90</v>
      </c>
      <c r="J177" s="382">
        <f>Dubbing!$AE$16</f>
        <v>1</v>
      </c>
      <c r="K177" s="382">
        <f>Dubbing!$AF$16</f>
        <v>0</v>
      </c>
      <c r="L177" s="382" t="str">
        <f>Dubbing!$AH$16</f>
        <v>Automated system</v>
      </c>
      <c r="M177" s="407">
        <f>Dubbing!$AI$16</f>
        <v>0.1</v>
      </c>
      <c r="N177" s="391" t="str">
        <f>Dubbing!$AJ$16</f>
        <v>Note 3</v>
      </c>
    </row>
    <row r="178" spans="1:14" x14ac:dyDescent="0.35">
      <c r="A178" s="368" t="str">
        <f>'Summary (READ FIRST)'!$B$8</f>
        <v>Supplier 1</v>
      </c>
      <c r="B178" s="367" t="str">
        <f>'Summary (READ FIRST)'!$B$11</f>
        <v>English</v>
      </c>
      <c r="C178" s="367" t="s">
        <v>35</v>
      </c>
      <c r="D178" s="367" t="s">
        <v>27</v>
      </c>
      <c r="E178" s="367" t="s">
        <v>20</v>
      </c>
      <c r="F178" s="367" t="s">
        <v>23</v>
      </c>
      <c r="G178" s="382">
        <f>Dubbing!AA16</f>
        <v>117</v>
      </c>
      <c r="H178" s="382">
        <f>Dubbing!AB16</f>
        <v>0</v>
      </c>
      <c r="I178" s="384">
        <f>Dubbing!AC16</f>
        <v>103</v>
      </c>
      <c r="J178" s="382">
        <f>Dubbing!$AE$16</f>
        <v>1</v>
      </c>
      <c r="K178" s="382">
        <f>Dubbing!$AF$16</f>
        <v>0</v>
      </c>
      <c r="L178" s="382" t="str">
        <f>Dubbing!$AH$16</f>
        <v>Automated system</v>
      </c>
      <c r="M178" s="407">
        <f>Dubbing!$AI$16</f>
        <v>0.1</v>
      </c>
      <c r="N178" s="391" t="str">
        <f>Dubbing!$AJ$16</f>
        <v>Note 3</v>
      </c>
    </row>
    <row r="179" spans="1:14" x14ac:dyDescent="0.35">
      <c r="A179" s="371" t="str">
        <f>'Summary (READ FIRST)'!$B$8</f>
        <v>Supplier 1</v>
      </c>
      <c r="B179" s="366" t="str">
        <f>'Summary (READ FIRST)'!$B$11</f>
        <v>English</v>
      </c>
      <c r="C179" s="366" t="s">
        <v>35</v>
      </c>
      <c r="D179" s="366" t="s">
        <v>28</v>
      </c>
      <c r="E179" s="366" t="s">
        <v>16</v>
      </c>
      <c r="F179" s="366" t="s">
        <v>36</v>
      </c>
      <c r="G179" s="382">
        <f>Dubbing!E17</f>
        <v>0</v>
      </c>
      <c r="H179" s="382">
        <f>Dubbing!G17</f>
        <v>67</v>
      </c>
      <c r="I179" s="382"/>
      <c r="J179" s="382">
        <f>Dubbing!$AE$17</f>
        <v>0</v>
      </c>
      <c r="K179" s="382">
        <f>Dubbing!$AF$17</f>
        <v>0.5</v>
      </c>
      <c r="L179" s="382" t="str">
        <f>Dubbing!$AH$17</f>
        <v>Workflow</v>
      </c>
      <c r="M179" s="407">
        <f>Dubbing!$AI$17</f>
        <v>0.1</v>
      </c>
      <c r="N179" s="391" t="str">
        <f>Dubbing!$AJ$17</f>
        <v>Note 3</v>
      </c>
    </row>
    <row r="180" spans="1:14" x14ac:dyDescent="0.35">
      <c r="A180" s="368" t="str">
        <f>'Summary (READ FIRST)'!$B$8</f>
        <v>Supplier 1</v>
      </c>
      <c r="B180" s="367" t="str">
        <f>'Summary (READ FIRST)'!$B$11</f>
        <v>English</v>
      </c>
      <c r="C180" s="367" t="s">
        <v>35</v>
      </c>
      <c r="D180" s="367" t="s">
        <v>28</v>
      </c>
      <c r="E180" s="367" t="s">
        <v>16</v>
      </c>
      <c r="F180" s="367" t="s">
        <v>37</v>
      </c>
      <c r="G180" s="382">
        <f>Dubbing!F17</f>
        <v>54</v>
      </c>
      <c r="H180" s="382">
        <f>Dubbing!H17</f>
        <v>0</v>
      </c>
      <c r="I180" s="382"/>
      <c r="J180" s="382">
        <f>Dubbing!$AE$17</f>
        <v>0</v>
      </c>
      <c r="K180" s="382">
        <f>Dubbing!$AF$17</f>
        <v>0.5</v>
      </c>
      <c r="L180" s="382" t="str">
        <f>Dubbing!$AH$17</f>
        <v>Workflow</v>
      </c>
      <c r="M180" s="407">
        <f>Dubbing!$AI$17</f>
        <v>0.1</v>
      </c>
      <c r="N180" s="391" t="str">
        <f>Dubbing!$AJ$17</f>
        <v>Note 3</v>
      </c>
    </row>
    <row r="181" spans="1:14" x14ac:dyDescent="0.35">
      <c r="A181" s="368" t="str">
        <f>'Summary (READ FIRST)'!$B$8</f>
        <v>Supplier 1</v>
      </c>
      <c r="B181" s="367" t="str">
        <f>'Summary (READ FIRST)'!$B$11</f>
        <v>English</v>
      </c>
      <c r="C181" s="367" t="s">
        <v>35</v>
      </c>
      <c r="D181" s="367" t="s">
        <v>28</v>
      </c>
      <c r="E181" s="367" t="s">
        <v>16</v>
      </c>
      <c r="F181" s="367" t="s">
        <v>38</v>
      </c>
      <c r="G181" s="382">
        <f>Dubbing!J17</f>
        <v>105</v>
      </c>
      <c r="H181" s="382">
        <f>Dubbing!L17</f>
        <v>0</v>
      </c>
      <c r="I181" s="382"/>
      <c r="J181" s="382">
        <f>Dubbing!$AE$17</f>
        <v>0</v>
      </c>
      <c r="K181" s="382">
        <f>Dubbing!$AF$17</f>
        <v>0.5</v>
      </c>
      <c r="L181" s="382" t="str">
        <f>Dubbing!$AH$17</f>
        <v>Workflow</v>
      </c>
      <c r="M181" s="407">
        <f>Dubbing!$AI$17</f>
        <v>0.1</v>
      </c>
      <c r="N181" s="391" t="str">
        <f>Dubbing!$AJ$17</f>
        <v>Note 3</v>
      </c>
    </row>
    <row r="182" spans="1:14" x14ac:dyDescent="0.35">
      <c r="A182" s="368" t="str">
        <f>'Summary (READ FIRST)'!$B$8</f>
        <v>Supplier 1</v>
      </c>
      <c r="B182" s="367" t="str">
        <f>'Summary (READ FIRST)'!$B$11</f>
        <v>English</v>
      </c>
      <c r="C182" s="367" t="s">
        <v>35</v>
      </c>
      <c r="D182" s="367" t="s">
        <v>28</v>
      </c>
      <c r="E182" s="367" t="s">
        <v>16</v>
      </c>
      <c r="F182" s="367" t="s">
        <v>39</v>
      </c>
      <c r="G182" s="382">
        <f>Dubbing!K17</f>
        <v>0</v>
      </c>
      <c r="H182" s="382">
        <f>Dubbing!M17</f>
        <v>34</v>
      </c>
      <c r="I182" s="382"/>
      <c r="J182" s="382">
        <f>Dubbing!$AE$17</f>
        <v>0</v>
      </c>
      <c r="K182" s="382">
        <f>Dubbing!$AF$17</f>
        <v>0.5</v>
      </c>
      <c r="L182" s="382" t="str">
        <f>Dubbing!$AH$17</f>
        <v>Workflow</v>
      </c>
      <c r="M182" s="407">
        <f>Dubbing!$AI$17</f>
        <v>0.1</v>
      </c>
      <c r="N182" s="391" t="str">
        <f>Dubbing!$AJ$17</f>
        <v>Note 3</v>
      </c>
    </row>
    <row r="183" spans="1:14" x14ac:dyDescent="0.35">
      <c r="A183" s="368" t="str">
        <f>'Summary (READ FIRST)'!$B$8</f>
        <v>Supplier 1</v>
      </c>
      <c r="B183" s="367" t="str">
        <f>'Summary (READ FIRST)'!$B$11</f>
        <v>English</v>
      </c>
      <c r="C183" s="367" t="s">
        <v>35</v>
      </c>
      <c r="D183" s="367" t="s">
        <v>28</v>
      </c>
      <c r="E183" s="367" t="s">
        <v>16</v>
      </c>
      <c r="F183" s="367" t="s">
        <v>40</v>
      </c>
      <c r="G183" s="382">
        <f>Dubbing!O17</f>
        <v>73</v>
      </c>
      <c r="H183" s="382">
        <f>Dubbing!Q17</f>
        <v>70</v>
      </c>
      <c r="I183" s="382"/>
      <c r="J183" s="382">
        <f>Dubbing!$AE$17</f>
        <v>0</v>
      </c>
      <c r="K183" s="382">
        <f>Dubbing!$AF$17</f>
        <v>0.5</v>
      </c>
      <c r="L183" s="382" t="str">
        <f>Dubbing!$AH$17</f>
        <v>Workflow</v>
      </c>
      <c r="M183" s="407">
        <f>Dubbing!$AI$17</f>
        <v>0.1</v>
      </c>
      <c r="N183" s="391" t="str">
        <f>Dubbing!$AJ$17</f>
        <v>Note 3</v>
      </c>
    </row>
    <row r="184" spans="1:14" x14ac:dyDescent="0.35">
      <c r="A184" s="368" t="str">
        <f>'Summary (READ FIRST)'!$B$8</f>
        <v>Supplier 1</v>
      </c>
      <c r="B184" s="367" t="str">
        <f>'Summary (READ FIRST)'!$B$11</f>
        <v>English</v>
      </c>
      <c r="C184" s="367" t="s">
        <v>35</v>
      </c>
      <c r="D184" s="367" t="s">
        <v>28</v>
      </c>
      <c r="E184" s="367" t="s">
        <v>16</v>
      </c>
      <c r="F184" s="367" t="s">
        <v>41</v>
      </c>
      <c r="G184" s="382">
        <f>Dubbing!P17</f>
        <v>82</v>
      </c>
      <c r="H184" s="382">
        <f>Dubbing!R17</f>
        <v>0</v>
      </c>
      <c r="I184" s="382"/>
      <c r="J184" s="382">
        <f>Dubbing!$AE$17</f>
        <v>0</v>
      </c>
      <c r="K184" s="382">
        <f>Dubbing!$AF$17</f>
        <v>0.5</v>
      </c>
      <c r="L184" s="382" t="str">
        <f>Dubbing!$AH$17</f>
        <v>Workflow</v>
      </c>
      <c r="M184" s="407">
        <f>Dubbing!$AI$17</f>
        <v>0.1</v>
      </c>
      <c r="N184" s="391" t="str">
        <f>Dubbing!$AJ$17</f>
        <v>Note 3</v>
      </c>
    </row>
    <row r="185" spans="1:14" x14ac:dyDescent="0.35">
      <c r="A185" s="368" t="str">
        <f>'Summary (READ FIRST)'!$B$8</f>
        <v>Supplier 1</v>
      </c>
      <c r="B185" s="367" t="str">
        <f>'Summary (READ FIRST)'!$B$11</f>
        <v>English</v>
      </c>
      <c r="C185" s="367" t="s">
        <v>35</v>
      </c>
      <c r="D185" s="367" t="s">
        <v>28</v>
      </c>
      <c r="E185" s="367" t="s">
        <v>20</v>
      </c>
      <c r="F185" s="367" t="s">
        <v>42</v>
      </c>
      <c r="G185" s="382">
        <f>Dubbing!T17</f>
        <v>119</v>
      </c>
      <c r="H185" s="382">
        <f>Dubbing!V17</f>
        <v>0</v>
      </c>
      <c r="I185" s="384">
        <f>Dubbing!X17</f>
        <v>89</v>
      </c>
      <c r="J185" s="382">
        <f>Dubbing!$AE$17</f>
        <v>0</v>
      </c>
      <c r="K185" s="382">
        <f>Dubbing!$AF$17</f>
        <v>0.5</v>
      </c>
      <c r="L185" s="382" t="str">
        <f>Dubbing!$AH$17</f>
        <v>Workflow</v>
      </c>
      <c r="M185" s="407">
        <f>Dubbing!$AI$17</f>
        <v>0.1</v>
      </c>
      <c r="N185" s="391" t="str">
        <f>Dubbing!$AJ$17</f>
        <v>Note 3</v>
      </c>
    </row>
    <row r="186" spans="1:14" x14ac:dyDescent="0.35">
      <c r="A186" s="368" t="str">
        <f>'Summary (READ FIRST)'!$B$8</f>
        <v>Supplier 1</v>
      </c>
      <c r="B186" s="367" t="str">
        <f>'Summary (READ FIRST)'!$B$11</f>
        <v>English</v>
      </c>
      <c r="C186" s="367" t="s">
        <v>35</v>
      </c>
      <c r="D186" s="367" t="s">
        <v>28</v>
      </c>
      <c r="E186" s="367" t="s">
        <v>20</v>
      </c>
      <c r="F186" s="367" t="s">
        <v>43</v>
      </c>
      <c r="G186" s="382">
        <f>Dubbing!U17</f>
        <v>0</v>
      </c>
      <c r="H186" s="382">
        <f>Dubbing!W17</f>
        <v>45</v>
      </c>
      <c r="I186" s="384">
        <f>Dubbing!Y17</f>
        <v>0</v>
      </c>
      <c r="J186" s="382">
        <f>Dubbing!$AE$17</f>
        <v>0</v>
      </c>
      <c r="K186" s="382">
        <f>Dubbing!$AF$17</f>
        <v>0.5</v>
      </c>
      <c r="L186" s="382" t="str">
        <f>Dubbing!$AH$17</f>
        <v>Workflow</v>
      </c>
      <c r="M186" s="407">
        <f>Dubbing!$AI$17</f>
        <v>0.1</v>
      </c>
      <c r="N186" s="391" t="str">
        <f>Dubbing!$AJ$17</f>
        <v>Note 3</v>
      </c>
    </row>
    <row r="187" spans="1:14" x14ac:dyDescent="0.35">
      <c r="A187" s="368" t="str">
        <f>'Summary (READ FIRST)'!$B$8</f>
        <v>Supplier 1</v>
      </c>
      <c r="B187" s="367" t="str">
        <f>'Summary (READ FIRST)'!$B$11</f>
        <v>English</v>
      </c>
      <c r="C187" s="367" t="s">
        <v>35</v>
      </c>
      <c r="D187" s="367" t="s">
        <v>28</v>
      </c>
      <c r="E187" s="367" t="s">
        <v>20</v>
      </c>
      <c r="F187" s="367" t="s">
        <v>23</v>
      </c>
      <c r="G187" s="382">
        <f>Dubbing!AA17</f>
        <v>66</v>
      </c>
      <c r="H187" s="382">
        <f>Dubbing!AB17</f>
        <v>33</v>
      </c>
      <c r="I187" s="384">
        <f>Dubbing!AC17</f>
        <v>92</v>
      </c>
      <c r="J187" s="382">
        <f>Dubbing!$AE$17</f>
        <v>0</v>
      </c>
      <c r="K187" s="382">
        <f>Dubbing!$AF$17</f>
        <v>0.5</v>
      </c>
      <c r="L187" s="382" t="str">
        <f>Dubbing!$AH$17</f>
        <v>Workflow</v>
      </c>
      <c r="M187" s="407">
        <f>Dubbing!$AI$17</f>
        <v>0.1</v>
      </c>
      <c r="N187" s="391" t="str">
        <f>Dubbing!$AJ$17</f>
        <v>Note 3</v>
      </c>
    </row>
    <row r="188" spans="1:14" x14ac:dyDescent="0.35">
      <c r="A188" s="371" t="str">
        <f>'Summary (READ FIRST)'!$B$8</f>
        <v>Supplier 1</v>
      </c>
      <c r="B188" s="366" t="str">
        <f>'Summary (READ FIRST)'!$B$11</f>
        <v>English</v>
      </c>
      <c r="C188" s="366" t="s">
        <v>35</v>
      </c>
      <c r="D188" s="366" t="s">
        <v>29</v>
      </c>
      <c r="E188" s="366" t="s">
        <v>16</v>
      </c>
      <c r="F188" s="366" t="s">
        <v>36</v>
      </c>
      <c r="G188" s="382">
        <f>Dubbing!E18</f>
        <v>111</v>
      </c>
      <c r="H188" s="382">
        <f>Dubbing!G18</f>
        <v>0</v>
      </c>
      <c r="I188" s="382"/>
      <c r="J188" s="382">
        <f>Dubbing!$AE$18</f>
        <v>1</v>
      </c>
      <c r="K188" s="382">
        <f>Dubbing!$AF$18</f>
        <v>0.5</v>
      </c>
      <c r="L188" s="382" t="str">
        <f>Dubbing!$AH$18</f>
        <v>Workflow</v>
      </c>
      <c r="M188" s="407">
        <f>Dubbing!$AI$18</f>
        <v>0.15</v>
      </c>
      <c r="N188" s="391">
        <f>Dubbing!$AJ$18</f>
        <v>0</v>
      </c>
    </row>
    <row r="189" spans="1:14" x14ac:dyDescent="0.35">
      <c r="A189" s="368" t="str">
        <f>'Summary (READ FIRST)'!$B$8</f>
        <v>Supplier 1</v>
      </c>
      <c r="B189" s="367" t="str">
        <f>'Summary (READ FIRST)'!$B$11</f>
        <v>English</v>
      </c>
      <c r="C189" s="367" t="s">
        <v>35</v>
      </c>
      <c r="D189" s="367" t="s">
        <v>29</v>
      </c>
      <c r="E189" s="367" t="s">
        <v>16</v>
      </c>
      <c r="F189" s="367" t="s">
        <v>37</v>
      </c>
      <c r="G189" s="382">
        <f>Dubbing!F18</f>
        <v>0</v>
      </c>
      <c r="H189" s="382">
        <f>Dubbing!H18</f>
        <v>25</v>
      </c>
      <c r="I189" s="382"/>
      <c r="J189" s="382">
        <f>Dubbing!$AE$18</f>
        <v>1</v>
      </c>
      <c r="K189" s="382">
        <f>Dubbing!$AF$18</f>
        <v>0.5</v>
      </c>
      <c r="L189" s="382" t="str">
        <f>Dubbing!$AH$18</f>
        <v>Workflow</v>
      </c>
      <c r="M189" s="407">
        <f>Dubbing!$AI$18</f>
        <v>0.15</v>
      </c>
      <c r="N189" s="391">
        <f>Dubbing!$AJ$18</f>
        <v>0</v>
      </c>
    </row>
    <row r="190" spans="1:14" x14ac:dyDescent="0.35">
      <c r="A190" s="368" t="str">
        <f>'Summary (READ FIRST)'!$B$8</f>
        <v>Supplier 1</v>
      </c>
      <c r="B190" s="367" t="str">
        <f>'Summary (READ FIRST)'!$B$11</f>
        <v>English</v>
      </c>
      <c r="C190" s="367" t="s">
        <v>35</v>
      </c>
      <c r="D190" s="367" t="s">
        <v>29</v>
      </c>
      <c r="E190" s="367" t="s">
        <v>16</v>
      </c>
      <c r="F190" s="367" t="s">
        <v>38</v>
      </c>
      <c r="G190" s="382">
        <f>Dubbing!J18</f>
        <v>0</v>
      </c>
      <c r="H190" s="382">
        <f>Dubbing!L18</f>
        <v>37</v>
      </c>
      <c r="I190" s="382"/>
      <c r="J190" s="382">
        <f>Dubbing!$AE$18</f>
        <v>1</v>
      </c>
      <c r="K190" s="382">
        <f>Dubbing!$AF$18</f>
        <v>0.5</v>
      </c>
      <c r="L190" s="382" t="str">
        <f>Dubbing!$AH$18</f>
        <v>Workflow</v>
      </c>
      <c r="M190" s="407">
        <f>Dubbing!$AI$18</f>
        <v>0.15</v>
      </c>
      <c r="N190" s="391">
        <f>Dubbing!$AJ$18</f>
        <v>0</v>
      </c>
    </row>
    <row r="191" spans="1:14" x14ac:dyDescent="0.35">
      <c r="A191" s="368" t="str">
        <f>'Summary (READ FIRST)'!$B$8</f>
        <v>Supplier 1</v>
      </c>
      <c r="B191" s="367" t="str">
        <f>'Summary (READ FIRST)'!$B$11</f>
        <v>English</v>
      </c>
      <c r="C191" s="367" t="s">
        <v>35</v>
      </c>
      <c r="D191" s="367" t="s">
        <v>29</v>
      </c>
      <c r="E191" s="367" t="s">
        <v>16</v>
      </c>
      <c r="F191" s="367" t="s">
        <v>39</v>
      </c>
      <c r="G191" s="382">
        <f>Dubbing!K18</f>
        <v>90</v>
      </c>
      <c r="H191" s="382">
        <f>Dubbing!M18</f>
        <v>0</v>
      </c>
      <c r="I191" s="382"/>
      <c r="J191" s="382">
        <f>Dubbing!$AE$18</f>
        <v>1</v>
      </c>
      <c r="K191" s="382">
        <f>Dubbing!$AF$18</f>
        <v>0.5</v>
      </c>
      <c r="L191" s="382" t="str">
        <f>Dubbing!$AH$18</f>
        <v>Workflow</v>
      </c>
      <c r="M191" s="407">
        <f>Dubbing!$AI$18</f>
        <v>0.15</v>
      </c>
      <c r="N191" s="391">
        <f>Dubbing!$AJ$18</f>
        <v>0</v>
      </c>
    </row>
    <row r="192" spans="1:14" x14ac:dyDescent="0.35">
      <c r="A192" s="368" t="str">
        <f>'Summary (READ FIRST)'!$B$8</f>
        <v>Supplier 1</v>
      </c>
      <c r="B192" s="367" t="str">
        <f>'Summary (READ FIRST)'!$B$11</f>
        <v>English</v>
      </c>
      <c r="C192" s="367" t="s">
        <v>35</v>
      </c>
      <c r="D192" s="367" t="s">
        <v>29</v>
      </c>
      <c r="E192" s="367" t="s">
        <v>16</v>
      </c>
      <c r="F192" s="367" t="s">
        <v>40</v>
      </c>
      <c r="G192" s="382">
        <f>Dubbing!O18</f>
        <v>0</v>
      </c>
      <c r="H192" s="382">
        <f>Dubbing!Q18</f>
        <v>56</v>
      </c>
      <c r="I192" s="382"/>
      <c r="J192" s="382">
        <f>Dubbing!$AE$18</f>
        <v>1</v>
      </c>
      <c r="K192" s="382">
        <f>Dubbing!$AF$18</f>
        <v>0.5</v>
      </c>
      <c r="L192" s="382" t="str">
        <f>Dubbing!$AH$18</f>
        <v>Workflow</v>
      </c>
      <c r="M192" s="407">
        <f>Dubbing!$AI$18</f>
        <v>0.15</v>
      </c>
      <c r="N192" s="391">
        <f>Dubbing!$AJ$18</f>
        <v>0</v>
      </c>
    </row>
    <row r="193" spans="1:14" x14ac:dyDescent="0.35">
      <c r="A193" s="368" t="str">
        <f>'Summary (READ FIRST)'!$B$8</f>
        <v>Supplier 1</v>
      </c>
      <c r="B193" s="367" t="str">
        <f>'Summary (READ FIRST)'!$B$11</f>
        <v>English</v>
      </c>
      <c r="C193" s="367" t="s">
        <v>35</v>
      </c>
      <c r="D193" s="367" t="s">
        <v>29</v>
      </c>
      <c r="E193" s="367" t="s">
        <v>16</v>
      </c>
      <c r="F193" s="367" t="s">
        <v>41</v>
      </c>
      <c r="G193" s="382">
        <f>Dubbing!P18</f>
        <v>0</v>
      </c>
      <c r="H193" s="382">
        <f>Dubbing!R18</f>
        <v>70</v>
      </c>
      <c r="I193" s="382"/>
      <c r="J193" s="382">
        <f>Dubbing!$AE$18</f>
        <v>1</v>
      </c>
      <c r="K193" s="382">
        <f>Dubbing!$AF$18</f>
        <v>0.5</v>
      </c>
      <c r="L193" s="382" t="str">
        <f>Dubbing!$AH$18</f>
        <v>Workflow</v>
      </c>
      <c r="M193" s="407">
        <f>Dubbing!$AI$18</f>
        <v>0.15</v>
      </c>
      <c r="N193" s="391">
        <f>Dubbing!$AJ$18</f>
        <v>0</v>
      </c>
    </row>
    <row r="194" spans="1:14" x14ac:dyDescent="0.35">
      <c r="A194" s="368" t="str">
        <f>'Summary (READ FIRST)'!$B$8</f>
        <v>Supplier 1</v>
      </c>
      <c r="B194" s="367" t="str">
        <f>'Summary (READ FIRST)'!$B$11</f>
        <v>English</v>
      </c>
      <c r="C194" s="367" t="s">
        <v>35</v>
      </c>
      <c r="D194" s="367" t="s">
        <v>29</v>
      </c>
      <c r="E194" s="367" t="s">
        <v>20</v>
      </c>
      <c r="F194" s="367" t="s">
        <v>42</v>
      </c>
      <c r="G194" s="382">
        <f>Dubbing!T18</f>
        <v>110</v>
      </c>
      <c r="H194" s="382">
        <f>Dubbing!V18</f>
        <v>38</v>
      </c>
      <c r="I194" s="384">
        <f>Dubbing!X18</f>
        <v>52</v>
      </c>
      <c r="J194" s="382">
        <f>Dubbing!$AE$18</f>
        <v>1</v>
      </c>
      <c r="K194" s="382">
        <f>Dubbing!$AF$18</f>
        <v>0.5</v>
      </c>
      <c r="L194" s="382" t="str">
        <f>Dubbing!$AH$18</f>
        <v>Workflow</v>
      </c>
      <c r="M194" s="407">
        <f>Dubbing!$AI$18</f>
        <v>0.15</v>
      </c>
      <c r="N194" s="391">
        <f>Dubbing!$AJ$18</f>
        <v>0</v>
      </c>
    </row>
    <row r="195" spans="1:14" x14ac:dyDescent="0.35">
      <c r="A195" s="368" t="str">
        <f>'Summary (READ FIRST)'!$B$8</f>
        <v>Supplier 1</v>
      </c>
      <c r="B195" s="367" t="str">
        <f>'Summary (READ FIRST)'!$B$11</f>
        <v>English</v>
      </c>
      <c r="C195" s="367" t="s">
        <v>35</v>
      </c>
      <c r="D195" s="367" t="s">
        <v>29</v>
      </c>
      <c r="E195" s="367" t="s">
        <v>20</v>
      </c>
      <c r="F195" s="367" t="s">
        <v>43</v>
      </c>
      <c r="G195" s="382">
        <f>Dubbing!U18</f>
        <v>56</v>
      </c>
      <c r="H195" s="382">
        <f>Dubbing!W18</f>
        <v>74</v>
      </c>
      <c r="I195" s="384">
        <f>Dubbing!Y18</f>
        <v>92</v>
      </c>
      <c r="J195" s="382">
        <f>Dubbing!$AE$18</f>
        <v>1</v>
      </c>
      <c r="K195" s="382">
        <f>Dubbing!$AF$18</f>
        <v>0.5</v>
      </c>
      <c r="L195" s="382" t="str">
        <f>Dubbing!$AH$18</f>
        <v>Workflow</v>
      </c>
      <c r="M195" s="407">
        <f>Dubbing!$AI$18</f>
        <v>0.15</v>
      </c>
      <c r="N195" s="391">
        <f>Dubbing!$AJ$18</f>
        <v>0</v>
      </c>
    </row>
    <row r="196" spans="1:14" x14ac:dyDescent="0.35">
      <c r="A196" s="368" t="str">
        <f>'Summary (READ FIRST)'!$B$8</f>
        <v>Supplier 1</v>
      </c>
      <c r="B196" s="367" t="str">
        <f>'Summary (READ FIRST)'!$B$11</f>
        <v>English</v>
      </c>
      <c r="C196" s="367" t="s">
        <v>35</v>
      </c>
      <c r="D196" s="367" t="s">
        <v>29</v>
      </c>
      <c r="E196" s="367" t="s">
        <v>20</v>
      </c>
      <c r="F196" s="367" t="s">
        <v>23</v>
      </c>
      <c r="G196" s="382">
        <f>Dubbing!AA18</f>
        <v>0</v>
      </c>
      <c r="H196" s="382">
        <f>Dubbing!AB18</f>
        <v>25</v>
      </c>
      <c r="I196" s="384">
        <f>Dubbing!AC18</f>
        <v>111</v>
      </c>
      <c r="J196" s="382">
        <f>Dubbing!$AE$18</f>
        <v>1</v>
      </c>
      <c r="K196" s="382">
        <f>Dubbing!$AF$18</f>
        <v>0.5</v>
      </c>
      <c r="L196" s="382" t="str">
        <f>Dubbing!$AH$18</f>
        <v>Workflow</v>
      </c>
      <c r="M196" s="407">
        <f>Dubbing!$AI$18</f>
        <v>0.15</v>
      </c>
      <c r="N196" s="391">
        <f>Dubbing!$AJ$18</f>
        <v>0</v>
      </c>
    </row>
    <row r="197" spans="1:14" x14ac:dyDescent="0.35">
      <c r="A197" s="371" t="str">
        <f>'Summary (READ FIRST)'!$B$8</f>
        <v>Supplier 1</v>
      </c>
      <c r="B197" s="366" t="str">
        <f>'Summary (READ FIRST)'!$B$11</f>
        <v>English</v>
      </c>
      <c r="C197" s="366" t="s">
        <v>35</v>
      </c>
      <c r="D197" s="366" t="s">
        <v>30</v>
      </c>
      <c r="E197" s="366" t="s">
        <v>16</v>
      </c>
      <c r="F197" s="366" t="s">
        <v>36</v>
      </c>
      <c r="G197" s="382">
        <f>Dubbing!E19</f>
        <v>0</v>
      </c>
      <c r="H197" s="382">
        <f>Dubbing!G19</f>
        <v>65</v>
      </c>
      <c r="I197" s="382"/>
      <c r="J197" s="382">
        <f>Dubbing!$AE$19</f>
        <v>1</v>
      </c>
      <c r="K197" s="382">
        <f>Dubbing!$AF$19</f>
        <v>0</v>
      </c>
      <c r="L197" s="382">
        <f>Dubbing!$AH$19</f>
        <v>0</v>
      </c>
      <c r="M197" s="407">
        <f>Dubbing!$AI$19</f>
        <v>0</v>
      </c>
      <c r="N197" s="391" t="str">
        <f>Dubbing!$AJ$19</f>
        <v>Note 3</v>
      </c>
    </row>
    <row r="198" spans="1:14" x14ac:dyDescent="0.35">
      <c r="A198" s="368" t="str">
        <f>'Summary (READ FIRST)'!$B$8</f>
        <v>Supplier 1</v>
      </c>
      <c r="B198" s="367" t="str">
        <f>'Summary (READ FIRST)'!$B$11</f>
        <v>English</v>
      </c>
      <c r="C198" s="367" t="s">
        <v>35</v>
      </c>
      <c r="D198" s="367" t="s">
        <v>30</v>
      </c>
      <c r="E198" s="367" t="s">
        <v>16</v>
      </c>
      <c r="F198" s="367" t="s">
        <v>37</v>
      </c>
      <c r="G198" s="382">
        <f>Dubbing!F19</f>
        <v>56</v>
      </c>
      <c r="H198" s="382">
        <f>Dubbing!H19</f>
        <v>0</v>
      </c>
      <c r="I198" s="382"/>
      <c r="J198" s="382">
        <f>Dubbing!$AE$19</f>
        <v>1</v>
      </c>
      <c r="K198" s="382">
        <f>Dubbing!$AF$19</f>
        <v>0</v>
      </c>
      <c r="L198" s="382">
        <f>Dubbing!$AH$19</f>
        <v>0</v>
      </c>
      <c r="M198" s="407">
        <f>Dubbing!$AI$19</f>
        <v>0</v>
      </c>
      <c r="N198" s="391" t="str">
        <f>Dubbing!$AJ$19</f>
        <v>Note 3</v>
      </c>
    </row>
    <row r="199" spans="1:14" x14ac:dyDescent="0.35">
      <c r="A199" s="368" t="str">
        <f>'Summary (READ FIRST)'!$B$8</f>
        <v>Supplier 1</v>
      </c>
      <c r="B199" s="367" t="str">
        <f>'Summary (READ FIRST)'!$B$11</f>
        <v>English</v>
      </c>
      <c r="C199" s="367" t="s">
        <v>35</v>
      </c>
      <c r="D199" s="367" t="s">
        <v>30</v>
      </c>
      <c r="E199" s="367" t="s">
        <v>16</v>
      </c>
      <c r="F199" s="367" t="s">
        <v>38</v>
      </c>
      <c r="G199" s="382">
        <f>Dubbing!J19</f>
        <v>73</v>
      </c>
      <c r="H199" s="382">
        <f>Dubbing!L19</f>
        <v>50</v>
      </c>
      <c r="I199" s="382"/>
      <c r="J199" s="382">
        <f>Dubbing!$AE$19</f>
        <v>1</v>
      </c>
      <c r="K199" s="382">
        <f>Dubbing!$AF$19</f>
        <v>0</v>
      </c>
      <c r="L199" s="382">
        <f>Dubbing!$AH$19</f>
        <v>0</v>
      </c>
      <c r="M199" s="407">
        <f>Dubbing!$AI$19</f>
        <v>0</v>
      </c>
      <c r="N199" s="391" t="str">
        <f>Dubbing!$AJ$19</f>
        <v>Note 3</v>
      </c>
    </row>
    <row r="200" spans="1:14" x14ac:dyDescent="0.35">
      <c r="A200" s="368" t="str">
        <f>'Summary (READ FIRST)'!$B$8</f>
        <v>Supplier 1</v>
      </c>
      <c r="B200" s="367" t="str">
        <f>'Summary (READ FIRST)'!$B$11</f>
        <v>English</v>
      </c>
      <c r="C200" s="367" t="s">
        <v>35</v>
      </c>
      <c r="D200" s="367" t="s">
        <v>30</v>
      </c>
      <c r="E200" s="367" t="s">
        <v>16</v>
      </c>
      <c r="F200" s="367" t="s">
        <v>39</v>
      </c>
      <c r="G200" s="382">
        <f>Dubbing!K19</f>
        <v>104</v>
      </c>
      <c r="H200" s="382">
        <f>Dubbing!M19</f>
        <v>25</v>
      </c>
      <c r="I200" s="382"/>
      <c r="J200" s="382">
        <f>Dubbing!$AE$19</f>
        <v>1</v>
      </c>
      <c r="K200" s="382">
        <f>Dubbing!$AF$19</f>
        <v>0</v>
      </c>
      <c r="L200" s="382">
        <f>Dubbing!$AH$19</f>
        <v>0</v>
      </c>
      <c r="M200" s="407">
        <f>Dubbing!$AI$19</f>
        <v>0</v>
      </c>
      <c r="N200" s="391" t="str">
        <f>Dubbing!$AJ$19</f>
        <v>Note 3</v>
      </c>
    </row>
    <row r="201" spans="1:14" x14ac:dyDescent="0.35">
      <c r="A201" s="368" t="str">
        <f>'Summary (READ FIRST)'!$B$8</f>
        <v>Supplier 1</v>
      </c>
      <c r="B201" s="367" t="str">
        <f>'Summary (READ FIRST)'!$B$11</f>
        <v>English</v>
      </c>
      <c r="C201" s="367" t="s">
        <v>35</v>
      </c>
      <c r="D201" s="367" t="s">
        <v>30</v>
      </c>
      <c r="E201" s="367" t="s">
        <v>16</v>
      </c>
      <c r="F201" s="367" t="s">
        <v>40</v>
      </c>
      <c r="G201" s="382">
        <f>Dubbing!O19</f>
        <v>119</v>
      </c>
      <c r="H201" s="382">
        <f>Dubbing!Q19</f>
        <v>77</v>
      </c>
      <c r="I201" s="382"/>
      <c r="J201" s="382">
        <f>Dubbing!$AE$19</f>
        <v>1</v>
      </c>
      <c r="K201" s="382">
        <f>Dubbing!$AF$19</f>
        <v>0</v>
      </c>
      <c r="L201" s="382">
        <f>Dubbing!$AH$19</f>
        <v>0</v>
      </c>
      <c r="M201" s="407">
        <f>Dubbing!$AI$19</f>
        <v>0</v>
      </c>
      <c r="N201" s="391" t="str">
        <f>Dubbing!$AJ$19</f>
        <v>Note 3</v>
      </c>
    </row>
    <row r="202" spans="1:14" x14ac:dyDescent="0.35">
      <c r="A202" s="368" t="str">
        <f>'Summary (READ FIRST)'!$B$8</f>
        <v>Supplier 1</v>
      </c>
      <c r="B202" s="367" t="str">
        <f>'Summary (READ FIRST)'!$B$11</f>
        <v>English</v>
      </c>
      <c r="C202" s="367" t="s">
        <v>35</v>
      </c>
      <c r="D202" s="367" t="s">
        <v>30</v>
      </c>
      <c r="E202" s="367" t="s">
        <v>16</v>
      </c>
      <c r="F202" s="367" t="s">
        <v>41</v>
      </c>
      <c r="G202" s="382">
        <f>Dubbing!P19</f>
        <v>80</v>
      </c>
      <c r="H202" s="382">
        <f>Dubbing!R19</f>
        <v>42</v>
      </c>
      <c r="I202" s="382"/>
      <c r="J202" s="382">
        <f>Dubbing!$AE$19</f>
        <v>1</v>
      </c>
      <c r="K202" s="382">
        <f>Dubbing!$AF$19</f>
        <v>0</v>
      </c>
      <c r="L202" s="382">
        <f>Dubbing!$AH$19</f>
        <v>0</v>
      </c>
      <c r="M202" s="407">
        <f>Dubbing!$AI$19</f>
        <v>0</v>
      </c>
      <c r="N202" s="391" t="str">
        <f>Dubbing!$AJ$19</f>
        <v>Note 3</v>
      </c>
    </row>
    <row r="203" spans="1:14" x14ac:dyDescent="0.35">
      <c r="A203" s="368" t="str">
        <f>'Summary (READ FIRST)'!$B$8</f>
        <v>Supplier 1</v>
      </c>
      <c r="B203" s="367" t="str">
        <f>'Summary (READ FIRST)'!$B$11</f>
        <v>English</v>
      </c>
      <c r="C203" s="367" t="s">
        <v>35</v>
      </c>
      <c r="D203" s="367" t="s">
        <v>30</v>
      </c>
      <c r="E203" s="367" t="s">
        <v>20</v>
      </c>
      <c r="F203" s="367" t="s">
        <v>42</v>
      </c>
      <c r="G203" s="382">
        <f>Dubbing!T19</f>
        <v>0</v>
      </c>
      <c r="H203" s="382">
        <f>Dubbing!V19</f>
        <v>60</v>
      </c>
      <c r="I203" s="384">
        <f>Dubbing!X19</f>
        <v>0</v>
      </c>
      <c r="J203" s="382">
        <f>Dubbing!$AE$19</f>
        <v>1</v>
      </c>
      <c r="K203" s="382">
        <f>Dubbing!$AF$19</f>
        <v>0</v>
      </c>
      <c r="L203" s="382">
        <f>Dubbing!$AH$19</f>
        <v>0</v>
      </c>
      <c r="M203" s="407">
        <f>Dubbing!$AI$19</f>
        <v>0</v>
      </c>
      <c r="N203" s="391" t="str">
        <f>Dubbing!$AJ$19</f>
        <v>Note 3</v>
      </c>
    </row>
    <row r="204" spans="1:14" x14ac:dyDescent="0.35">
      <c r="A204" s="368" t="str">
        <f>'Summary (READ FIRST)'!$B$8</f>
        <v>Supplier 1</v>
      </c>
      <c r="B204" s="367" t="str">
        <f>'Summary (READ FIRST)'!$B$11</f>
        <v>English</v>
      </c>
      <c r="C204" s="367" t="s">
        <v>35</v>
      </c>
      <c r="D204" s="367" t="s">
        <v>30</v>
      </c>
      <c r="E204" s="367" t="s">
        <v>20</v>
      </c>
      <c r="F204" s="367" t="s">
        <v>43</v>
      </c>
      <c r="G204" s="382">
        <f>Dubbing!U19</f>
        <v>67</v>
      </c>
      <c r="H204" s="382">
        <f>Dubbing!W19</f>
        <v>0</v>
      </c>
      <c r="I204" s="384">
        <f>Dubbing!Y19</f>
        <v>103</v>
      </c>
      <c r="J204" s="382">
        <f>Dubbing!$AE$19</f>
        <v>1</v>
      </c>
      <c r="K204" s="382">
        <f>Dubbing!$AF$19</f>
        <v>0</v>
      </c>
      <c r="L204" s="382">
        <f>Dubbing!$AH$19</f>
        <v>0</v>
      </c>
      <c r="M204" s="407">
        <f>Dubbing!$AI$19</f>
        <v>0</v>
      </c>
      <c r="N204" s="391" t="str">
        <f>Dubbing!$AJ$19</f>
        <v>Note 3</v>
      </c>
    </row>
    <row r="205" spans="1:14" x14ac:dyDescent="0.35">
      <c r="A205" s="368" t="str">
        <f>'Summary (READ FIRST)'!$B$8</f>
        <v>Supplier 1</v>
      </c>
      <c r="B205" s="367" t="str">
        <f>'Summary (READ FIRST)'!$B$11</f>
        <v>English</v>
      </c>
      <c r="C205" s="367" t="s">
        <v>35</v>
      </c>
      <c r="D205" s="367" t="s">
        <v>30</v>
      </c>
      <c r="E205" s="367" t="s">
        <v>20</v>
      </c>
      <c r="F205" s="367" t="s">
        <v>23</v>
      </c>
      <c r="G205" s="382">
        <f>Dubbing!AA19</f>
        <v>98</v>
      </c>
      <c r="H205" s="382">
        <f>Dubbing!AB19</f>
        <v>77</v>
      </c>
      <c r="I205" s="384">
        <f>Dubbing!AC19</f>
        <v>0</v>
      </c>
      <c r="J205" s="382">
        <f>Dubbing!$AE$19</f>
        <v>1</v>
      </c>
      <c r="K205" s="382">
        <f>Dubbing!$AF$19</f>
        <v>0</v>
      </c>
      <c r="L205" s="382">
        <f>Dubbing!$AH$19</f>
        <v>0</v>
      </c>
      <c r="M205" s="407">
        <f>Dubbing!$AI$19</f>
        <v>0</v>
      </c>
      <c r="N205" s="391" t="str">
        <f>Dubbing!$AJ$19</f>
        <v>Note 3</v>
      </c>
    </row>
    <row r="206" spans="1:14" x14ac:dyDescent="0.35">
      <c r="A206" s="371" t="str">
        <f>'Summary (READ FIRST)'!$B$8</f>
        <v>Supplier 1</v>
      </c>
      <c r="B206" s="366" t="str">
        <f>'Summary (READ FIRST)'!$B$11</f>
        <v>English</v>
      </c>
      <c r="C206" s="366" t="s">
        <v>35</v>
      </c>
      <c r="D206" s="366" t="s">
        <v>31</v>
      </c>
      <c r="E206" s="366" t="s">
        <v>16</v>
      </c>
      <c r="F206" s="366" t="s">
        <v>36</v>
      </c>
      <c r="G206" s="382">
        <f>Dubbing!E20</f>
        <v>89</v>
      </c>
      <c r="H206" s="382">
        <f>Dubbing!G20</f>
        <v>0</v>
      </c>
      <c r="I206" s="382"/>
      <c r="J206" s="382">
        <f>Dubbing!$AE$20</f>
        <v>1</v>
      </c>
      <c r="K206" s="382">
        <f>Dubbing!$AF$20</f>
        <v>0.5</v>
      </c>
      <c r="L206" s="382" t="str">
        <f>Dubbing!$AH$20</f>
        <v>Tools</v>
      </c>
      <c r="M206" s="407">
        <f>Dubbing!$AI$20</f>
        <v>0.05</v>
      </c>
      <c r="N206" s="391" t="str">
        <f>Dubbing!$AJ$20</f>
        <v>Note 3</v>
      </c>
    </row>
    <row r="207" spans="1:14" x14ac:dyDescent="0.35">
      <c r="A207" s="368" t="str">
        <f>'Summary (READ FIRST)'!$B$8</f>
        <v>Supplier 1</v>
      </c>
      <c r="B207" s="367" t="str">
        <f>'Summary (READ FIRST)'!$B$11</f>
        <v>English</v>
      </c>
      <c r="C207" s="367" t="s">
        <v>35</v>
      </c>
      <c r="D207" s="367" t="s">
        <v>31</v>
      </c>
      <c r="E207" s="367" t="s">
        <v>16</v>
      </c>
      <c r="F207" s="367" t="s">
        <v>37</v>
      </c>
      <c r="G207" s="382">
        <f>Dubbing!F20</f>
        <v>71</v>
      </c>
      <c r="H207" s="382">
        <f>Dubbing!H20</f>
        <v>68</v>
      </c>
      <c r="I207" s="382"/>
      <c r="J207" s="382">
        <f>Dubbing!$AE$20</f>
        <v>1</v>
      </c>
      <c r="K207" s="382">
        <f>Dubbing!$AF$20</f>
        <v>0.5</v>
      </c>
      <c r="L207" s="382" t="str">
        <f>Dubbing!$AH$20</f>
        <v>Tools</v>
      </c>
      <c r="M207" s="407">
        <f>Dubbing!$AI$20</f>
        <v>0.05</v>
      </c>
      <c r="N207" s="391" t="str">
        <f>Dubbing!$AJ$20</f>
        <v>Note 3</v>
      </c>
    </row>
    <row r="208" spans="1:14" x14ac:dyDescent="0.35">
      <c r="A208" s="368" t="str">
        <f>'Summary (READ FIRST)'!$B$8</f>
        <v>Supplier 1</v>
      </c>
      <c r="B208" s="367" t="str">
        <f>'Summary (READ FIRST)'!$B$11</f>
        <v>English</v>
      </c>
      <c r="C208" s="367" t="s">
        <v>35</v>
      </c>
      <c r="D208" s="367" t="s">
        <v>31</v>
      </c>
      <c r="E208" s="367" t="s">
        <v>16</v>
      </c>
      <c r="F208" s="367" t="s">
        <v>38</v>
      </c>
      <c r="G208" s="382">
        <f>Dubbing!J20</f>
        <v>0</v>
      </c>
      <c r="H208" s="382">
        <f>Dubbing!L20</f>
        <v>42</v>
      </c>
      <c r="I208" s="382"/>
      <c r="J208" s="382">
        <f>Dubbing!$AE$20</f>
        <v>1</v>
      </c>
      <c r="K208" s="382">
        <f>Dubbing!$AF$20</f>
        <v>0.5</v>
      </c>
      <c r="L208" s="382" t="str">
        <f>Dubbing!$AH$20</f>
        <v>Tools</v>
      </c>
      <c r="M208" s="407">
        <f>Dubbing!$AI$20</f>
        <v>0.05</v>
      </c>
      <c r="N208" s="391" t="str">
        <f>Dubbing!$AJ$20</f>
        <v>Note 3</v>
      </c>
    </row>
    <row r="209" spans="1:14" x14ac:dyDescent="0.35">
      <c r="A209" s="368" t="str">
        <f>'Summary (READ FIRST)'!$B$8</f>
        <v>Supplier 1</v>
      </c>
      <c r="B209" s="367" t="str">
        <f>'Summary (READ FIRST)'!$B$11</f>
        <v>English</v>
      </c>
      <c r="C209" s="367" t="s">
        <v>35</v>
      </c>
      <c r="D209" s="367" t="s">
        <v>31</v>
      </c>
      <c r="E209" s="367" t="s">
        <v>16</v>
      </c>
      <c r="F209" s="367" t="s">
        <v>39</v>
      </c>
      <c r="G209" s="382">
        <f>Dubbing!K20</f>
        <v>0</v>
      </c>
      <c r="H209" s="382">
        <f>Dubbing!M20</f>
        <v>77</v>
      </c>
      <c r="I209" s="382"/>
      <c r="J209" s="382">
        <f>Dubbing!$AE$20</f>
        <v>1</v>
      </c>
      <c r="K209" s="382">
        <f>Dubbing!$AF$20</f>
        <v>0.5</v>
      </c>
      <c r="L209" s="382" t="str">
        <f>Dubbing!$AH$20</f>
        <v>Tools</v>
      </c>
      <c r="M209" s="407">
        <f>Dubbing!$AI$20</f>
        <v>0.05</v>
      </c>
      <c r="N209" s="391" t="str">
        <f>Dubbing!$AJ$20</f>
        <v>Note 3</v>
      </c>
    </row>
    <row r="210" spans="1:14" x14ac:dyDescent="0.35">
      <c r="A210" s="368" t="str">
        <f>'Summary (READ FIRST)'!$B$8</f>
        <v>Supplier 1</v>
      </c>
      <c r="B210" s="367" t="str">
        <f>'Summary (READ FIRST)'!$B$11</f>
        <v>English</v>
      </c>
      <c r="C210" s="367" t="s">
        <v>35</v>
      </c>
      <c r="D210" s="367" t="s">
        <v>31</v>
      </c>
      <c r="E210" s="367" t="s">
        <v>16</v>
      </c>
      <c r="F210" s="367" t="s">
        <v>40</v>
      </c>
      <c r="G210" s="382">
        <f>Dubbing!O20</f>
        <v>73</v>
      </c>
      <c r="H210" s="382">
        <f>Dubbing!Q20</f>
        <v>0</v>
      </c>
      <c r="I210" s="382"/>
      <c r="J210" s="382">
        <f>Dubbing!$AE$20</f>
        <v>1</v>
      </c>
      <c r="K210" s="382">
        <f>Dubbing!$AF$20</f>
        <v>0.5</v>
      </c>
      <c r="L210" s="382" t="str">
        <f>Dubbing!$AH$20</f>
        <v>Tools</v>
      </c>
      <c r="M210" s="407">
        <f>Dubbing!$AI$20</f>
        <v>0.05</v>
      </c>
      <c r="N210" s="391" t="str">
        <f>Dubbing!$AJ$20</f>
        <v>Note 3</v>
      </c>
    </row>
    <row r="211" spans="1:14" x14ac:dyDescent="0.35">
      <c r="A211" s="368" t="str">
        <f>'Summary (READ FIRST)'!$B$8</f>
        <v>Supplier 1</v>
      </c>
      <c r="B211" s="367" t="str">
        <f>'Summary (READ FIRST)'!$B$11</f>
        <v>English</v>
      </c>
      <c r="C211" s="367" t="s">
        <v>35</v>
      </c>
      <c r="D211" s="367" t="s">
        <v>31</v>
      </c>
      <c r="E211" s="367" t="s">
        <v>16</v>
      </c>
      <c r="F211" s="367" t="s">
        <v>41</v>
      </c>
      <c r="G211" s="382">
        <f>Dubbing!P20</f>
        <v>82</v>
      </c>
      <c r="H211" s="382">
        <f>Dubbing!R20</f>
        <v>76</v>
      </c>
      <c r="I211" s="382"/>
      <c r="J211" s="382">
        <f>Dubbing!$AE$20</f>
        <v>1</v>
      </c>
      <c r="K211" s="382">
        <f>Dubbing!$AF$20</f>
        <v>0.5</v>
      </c>
      <c r="L211" s="382" t="str">
        <f>Dubbing!$AH$20</f>
        <v>Tools</v>
      </c>
      <c r="M211" s="407">
        <f>Dubbing!$AI$20</f>
        <v>0.05</v>
      </c>
      <c r="N211" s="391" t="str">
        <f>Dubbing!$AJ$20</f>
        <v>Note 3</v>
      </c>
    </row>
    <row r="212" spans="1:14" x14ac:dyDescent="0.35">
      <c r="A212" s="368" t="str">
        <f>'Summary (READ FIRST)'!$B$8</f>
        <v>Supplier 1</v>
      </c>
      <c r="B212" s="367" t="str">
        <f>'Summary (READ FIRST)'!$B$11</f>
        <v>English</v>
      </c>
      <c r="C212" s="367" t="s">
        <v>35</v>
      </c>
      <c r="D212" s="367" t="s">
        <v>31</v>
      </c>
      <c r="E212" s="367" t="s">
        <v>20</v>
      </c>
      <c r="F212" s="367" t="s">
        <v>42</v>
      </c>
      <c r="G212" s="382">
        <f>Dubbing!T20</f>
        <v>120</v>
      </c>
      <c r="H212" s="382">
        <f>Dubbing!V20</f>
        <v>79</v>
      </c>
      <c r="I212" s="384">
        <f>Dubbing!X20</f>
        <v>83</v>
      </c>
      <c r="J212" s="382">
        <f>Dubbing!$AE$20</f>
        <v>1</v>
      </c>
      <c r="K212" s="382">
        <f>Dubbing!$AF$20</f>
        <v>0.5</v>
      </c>
      <c r="L212" s="382" t="str">
        <f>Dubbing!$AH$20</f>
        <v>Tools</v>
      </c>
      <c r="M212" s="407">
        <f>Dubbing!$AI$20</f>
        <v>0.05</v>
      </c>
      <c r="N212" s="391" t="str">
        <f>Dubbing!$AJ$20</f>
        <v>Note 3</v>
      </c>
    </row>
    <row r="213" spans="1:14" x14ac:dyDescent="0.35">
      <c r="A213" s="368" t="str">
        <f>'Summary (READ FIRST)'!$B$8</f>
        <v>Supplier 1</v>
      </c>
      <c r="B213" s="367" t="str">
        <f>'Summary (READ FIRST)'!$B$11</f>
        <v>English</v>
      </c>
      <c r="C213" s="367" t="s">
        <v>35</v>
      </c>
      <c r="D213" s="367" t="s">
        <v>31</v>
      </c>
      <c r="E213" s="367" t="s">
        <v>20</v>
      </c>
      <c r="F213" s="367" t="s">
        <v>43</v>
      </c>
      <c r="G213" s="382">
        <f>Dubbing!U20</f>
        <v>99</v>
      </c>
      <c r="H213" s="382">
        <f>Dubbing!W20</f>
        <v>69</v>
      </c>
      <c r="I213" s="384">
        <f>Dubbing!Y20</f>
        <v>99</v>
      </c>
      <c r="J213" s="382">
        <f>Dubbing!$AE$20</f>
        <v>1</v>
      </c>
      <c r="K213" s="382">
        <f>Dubbing!$AF$20</f>
        <v>0.5</v>
      </c>
      <c r="L213" s="382" t="str">
        <f>Dubbing!$AH$20</f>
        <v>Tools</v>
      </c>
      <c r="M213" s="407">
        <f>Dubbing!$AI$20</f>
        <v>0.05</v>
      </c>
      <c r="N213" s="391" t="str">
        <f>Dubbing!$AJ$20</f>
        <v>Note 3</v>
      </c>
    </row>
    <row r="214" spans="1:14" x14ac:dyDescent="0.35">
      <c r="A214" s="368" t="str">
        <f>'Summary (READ FIRST)'!$B$8</f>
        <v>Supplier 1</v>
      </c>
      <c r="B214" s="367" t="str">
        <f>'Summary (READ FIRST)'!$B$11</f>
        <v>English</v>
      </c>
      <c r="C214" s="367" t="s">
        <v>35</v>
      </c>
      <c r="D214" s="367" t="s">
        <v>31</v>
      </c>
      <c r="E214" s="367" t="s">
        <v>20</v>
      </c>
      <c r="F214" s="367" t="s">
        <v>23</v>
      </c>
      <c r="G214" s="382">
        <f>Dubbing!AA20</f>
        <v>53</v>
      </c>
      <c r="H214" s="382">
        <f>Dubbing!AB20</f>
        <v>33</v>
      </c>
      <c r="I214" s="384">
        <f>Dubbing!AC20</f>
        <v>95</v>
      </c>
      <c r="J214" s="382">
        <f>Dubbing!$AE$20</f>
        <v>1</v>
      </c>
      <c r="K214" s="382">
        <f>Dubbing!$AF$20</f>
        <v>0.5</v>
      </c>
      <c r="L214" s="382" t="str">
        <f>Dubbing!$AH$20</f>
        <v>Tools</v>
      </c>
      <c r="M214" s="407">
        <f>Dubbing!$AI$20</f>
        <v>0.05</v>
      </c>
      <c r="N214" s="391" t="str">
        <f>Dubbing!$AJ$20</f>
        <v>Note 3</v>
      </c>
    </row>
    <row r="215" spans="1:14" x14ac:dyDescent="0.35">
      <c r="A215" s="371" t="str">
        <f>'Summary (READ FIRST)'!$B$8</f>
        <v>Supplier 1</v>
      </c>
      <c r="B215" s="366" t="str">
        <f>'Summary (READ FIRST)'!$B$11</f>
        <v>English</v>
      </c>
      <c r="C215" s="366" t="s">
        <v>35</v>
      </c>
      <c r="D215" s="366" t="s">
        <v>32</v>
      </c>
      <c r="E215" s="366" t="s">
        <v>16</v>
      </c>
      <c r="F215" s="366" t="s">
        <v>36</v>
      </c>
      <c r="G215" s="382">
        <f>Dubbing!E21</f>
        <v>0</v>
      </c>
      <c r="H215" s="382">
        <f>Dubbing!G21</f>
        <v>68</v>
      </c>
      <c r="I215" s="382"/>
      <c r="J215" s="382">
        <f>Dubbing!$AE$21</f>
        <v>0</v>
      </c>
      <c r="K215" s="382">
        <f>Dubbing!$AF$21</f>
        <v>0.5</v>
      </c>
      <c r="L215" s="382" t="str">
        <f>Dubbing!$AH$21</f>
        <v>Workflow</v>
      </c>
      <c r="M215" s="407">
        <f>Dubbing!$AI$21</f>
        <v>0.15</v>
      </c>
      <c r="N215" s="391" t="str">
        <f>Dubbing!$AJ$21</f>
        <v>Note 3</v>
      </c>
    </row>
    <row r="216" spans="1:14" x14ac:dyDescent="0.35">
      <c r="A216" s="368" t="str">
        <f>'Summary (READ FIRST)'!$B$8</f>
        <v>Supplier 1</v>
      </c>
      <c r="B216" s="367" t="str">
        <f>'Summary (READ FIRST)'!$B$11</f>
        <v>English</v>
      </c>
      <c r="C216" s="367" t="s">
        <v>35</v>
      </c>
      <c r="D216" s="367" t="s">
        <v>32</v>
      </c>
      <c r="E216" s="367" t="s">
        <v>16</v>
      </c>
      <c r="F216" s="367" t="s">
        <v>37</v>
      </c>
      <c r="G216" s="382">
        <f>Dubbing!F21</f>
        <v>0</v>
      </c>
      <c r="H216" s="382">
        <f>Dubbing!H21</f>
        <v>70</v>
      </c>
      <c r="I216" s="382"/>
      <c r="J216" s="382">
        <f>Dubbing!$AE$21</f>
        <v>0</v>
      </c>
      <c r="K216" s="382">
        <f>Dubbing!$AF$21</f>
        <v>0.5</v>
      </c>
      <c r="L216" s="382" t="str">
        <f>Dubbing!$AH$21</f>
        <v>Workflow</v>
      </c>
      <c r="M216" s="407">
        <f>Dubbing!$AI$21</f>
        <v>0.15</v>
      </c>
      <c r="N216" s="391" t="str">
        <f>Dubbing!$AJ$21</f>
        <v>Note 3</v>
      </c>
    </row>
    <row r="217" spans="1:14" x14ac:dyDescent="0.35">
      <c r="A217" s="368" t="str">
        <f>'Summary (READ FIRST)'!$B$8</f>
        <v>Supplier 1</v>
      </c>
      <c r="B217" s="367" t="str">
        <f>'Summary (READ FIRST)'!$B$11</f>
        <v>English</v>
      </c>
      <c r="C217" s="367" t="s">
        <v>35</v>
      </c>
      <c r="D217" s="367" t="s">
        <v>32</v>
      </c>
      <c r="E217" s="367" t="s">
        <v>16</v>
      </c>
      <c r="F217" s="367" t="s">
        <v>38</v>
      </c>
      <c r="G217" s="382">
        <f>Dubbing!J21</f>
        <v>59</v>
      </c>
      <c r="H217" s="382">
        <f>Dubbing!L21</f>
        <v>0</v>
      </c>
      <c r="I217" s="382"/>
      <c r="J217" s="382">
        <f>Dubbing!$AE$21</f>
        <v>0</v>
      </c>
      <c r="K217" s="382">
        <f>Dubbing!$AF$21</f>
        <v>0.5</v>
      </c>
      <c r="L217" s="382" t="str">
        <f>Dubbing!$AH$21</f>
        <v>Workflow</v>
      </c>
      <c r="M217" s="407">
        <f>Dubbing!$AI$21</f>
        <v>0.15</v>
      </c>
      <c r="N217" s="391" t="str">
        <f>Dubbing!$AJ$21</f>
        <v>Note 3</v>
      </c>
    </row>
    <row r="218" spans="1:14" x14ac:dyDescent="0.35">
      <c r="A218" s="368" t="str">
        <f>'Summary (READ FIRST)'!$B$8</f>
        <v>Supplier 1</v>
      </c>
      <c r="B218" s="367" t="str">
        <f>'Summary (READ FIRST)'!$B$11</f>
        <v>English</v>
      </c>
      <c r="C218" s="367" t="s">
        <v>35</v>
      </c>
      <c r="D218" s="367" t="s">
        <v>32</v>
      </c>
      <c r="E218" s="367" t="s">
        <v>16</v>
      </c>
      <c r="F218" s="367" t="s">
        <v>39</v>
      </c>
      <c r="G218" s="382">
        <f>Dubbing!K21</f>
        <v>78</v>
      </c>
      <c r="H218" s="382">
        <f>Dubbing!M21</f>
        <v>0</v>
      </c>
      <c r="I218" s="382"/>
      <c r="J218" s="382">
        <f>Dubbing!$AE$21</f>
        <v>0</v>
      </c>
      <c r="K218" s="382">
        <f>Dubbing!$AF$21</f>
        <v>0.5</v>
      </c>
      <c r="L218" s="382" t="str">
        <f>Dubbing!$AH$21</f>
        <v>Workflow</v>
      </c>
      <c r="M218" s="407">
        <f>Dubbing!$AI$21</f>
        <v>0.15</v>
      </c>
      <c r="N218" s="391" t="str">
        <f>Dubbing!$AJ$21</f>
        <v>Note 3</v>
      </c>
    </row>
    <row r="219" spans="1:14" x14ac:dyDescent="0.35">
      <c r="A219" s="368" t="str">
        <f>'Summary (READ FIRST)'!$B$8</f>
        <v>Supplier 1</v>
      </c>
      <c r="B219" s="367" t="str">
        <f>'Summary (READ FIRST)'!$B$11</f>
        <v>English</v>
      </c>
      <c r="C219" s="367" t="s">
        <v>35</v>
      </c>
      <c r="D219" s="367" t="s">
        <v>32</v>
      </c>
      <c r="E219" s="367" t="s">
        <v>16</v>
      </c>
      <c r="F219" s="367" t="s">
        <v>40</v>
      </c>
      <c r="G219" s="382">
        <f>Dubbing!O21</f>
        <v>0</v>
      </c>
      <c r="H219" s="382">
        <f>Dubbing!Q21</f>
        <v>27</v>
      </c>
      <c r="I219" s="382"/>
      <c r="J219" s="382">
        <f>Dubbing!$AE$21</f>
        <v>0</v>
      </c>
      <c r="K219" s="382">
        <f>Dubbing!$AF$21</f>
        <v>0.5</v>
      </c>
      <c r="L219" s="382" t="str">
        <f>Dubbing!$AH$21</f>
        <v>Workflow</v>
      </c>
      <c r="M219" s="407">
        <f>Dubbing!$AI$21</f>
        <v>0.15</v>
      </c>
      <c r="N219" s="391" t="str">
        <f>Dubbing!$AJ$21</f>
        <v>Note 3</v>
      </c>
    </row>
    <row r="220" spans="1:14" x14ac:dyDescent="0.35">
      <c r="A220" s="368" t="str">
        <f>'Summary (READ FIRST)'!$B$8</f>
        <v>Supplier 1</v>
      </c>
      <c r="B220" s="367" t="str">
        <f>'Summary (READ FIRST)'!$B$11</f>
        <v>English</v>
      </c>
      <c r="C220" s="367" t="s">
        <v>35</v>
      </c>
      <c r="D220" s="367" t="s">
        <v>32</v>
      </c>
      <c r="E220" s="367" t="s">
        <v>16</v>
      </c>
      <c r="F220" s="367" t="s">
        <v>41</v>
      </c>
      <c r="G220" s="382">
        <f>Dubbing!P21</f>
        <v>89</v>
      </c>
      <c r="H220" s="382">
        <f>Dubbing!R21</f>
        <v>58</v>
      </c>
      <c r="I220" s="382"/>
      <c r="J220" s="382">
        <f>Dubbing!$AE$21</f>
        <v>0</v>
      </c>
      <c r="K220" s="382">
        <f>Dubbing!$AF$21</f>
        <v>0.5</v>
      </c>
      <c r="L220" s="382" t="str">
        <f>Dubbing!$AH$21</f>
        <v>Workflow</v>
      </c>
      <c r="M220" s="407">
        <f>Dubbing!$AI$21</f>
        <v>0.15</v>
      </c>
      <c r="N220" s="391" t="str">
        <f>Dubbing!$AJ$21</f>
        <v>Note 3</v>
      </c>
    </row>
    <row r="221" spans="1:14" x14ac:dyDescent="0.35">
      <c r="A221" s="368" t="str">
        <f>'Summary (READ FIRST)'!$B$8</f>
        <v>Supplier 1</v>
      </c>
      <c r="B221" s="367" t="str">
        <f>'Summary (READ FIRST)'!$B$11</f>
        <v>English</v>
      </c>
      <c r="C221" s="367" t="s">
        <v>35</v>
      </c>
      <c r="D221" s="367" t="s">
        <v>32</v>
      </c>
      <c r="E221" s="367" t="s">
        <v>20</v>
      </c>
      <c r="F221" s="367" t="s">
        <v>42</v>
      </c>
      <c r="G221" s="382">
        <f>Dubbing!T21</f>
        <v>95</v>
      </c>
      <c r="H221" s="382">
        <f>Dubbing!V21</f>
        <v>0</v>
      </c>
      <c r="I221" s="384">
        <f>Dubbing!X21</f>
        <v>115</v>
      </c>
      <c r="J221" s="382">
        <f>Dubbing!$AE$21</f>
        <v>0</v>
      </c>
      <c r="K221" s="382">
        <f>Dubbing!$AF$21</f>
        <v>0.5</v>
      </c>
      <c r="L221" s="382" t="str">
        <f>Dubbing!$AH$21</f>
        <v>Workflow</v>
      </c>
      <c r="M221" s="407">
        <f>Dubbing!$AI$21</f>
        <v>0.15</v>
      </c>
      <c r="N221" s="391" t="str">
        <f>Dubbing!$AJ$21</f>
        <v>Note 3</v>
      </c>
    </row>
    <row r="222" spans="1:14" x14ac:dyDescent="0.35">
      <c r="A222" s="368" t="str">
        <f>'Summary (READ FIRST)'!$B$8</f>
        <v>Supplier 1</v>
      </c>
      <c r="B222" s="367" t="str">
        <f>'Summary (READ FIRST)'!$B$11</f>
        <v>English</v>
      </c>
      <c r="C222" s="367" t="s">
        <v>35</v>
      </c>
      <c r="D222" s="367" t="s">
        <v>32</v>
      </c>
      <c r="E222" s="367" t="s">
        <v>20</v>
      </c>
      <c r="F222" s="367" t="s">
        <v>43</v>
      </c>
      <c r="G222" s="382">
        <f>Dubbing!U21</f>
        <v>0</v>
      </c>
      <c r="H222" s="382">
        <f>Dubbing!W21</f>
        <v>0</v>
      </c>
      <c r="I222" s="384">
        <f>Dubbing!Y21</f>
        <v>0</v>
      </c>
      <c r="J222" s="382">
        <f>Dubbing!$AE$21</f>
        <v>0</v>
      </c>
      <c r="K222" s="382">
        <f>Dubbing!$AF$21</f>
        <v>0.5</v>
      </c>
      <c r="L222" s="382" t="str">
        <f>Dubbing!$AH$21</f>
        <v>Workflow</v>
      </c>
      <c r="M222" s="407">
        <f>Dubbing!$AI$21</f>
        <v>0.15</v>
      </c>
      <c r="N222" s="391" t="str">
        <f>Dubbing!$AJ$21</f>
        <v>Note 3</v>
      </c>
    </row>
    <row r="223" spans="1:14" x14ac:dyDescent="0.35">
      <c r="A223" s="368" t="str">
        <f>'Summary (READ FIRST)'!$B$8</f>
        <v>Supplier 1</v>
      </c>
      <c r="B223" s="367" t="str">
        <f>'Summary (READ FIRST)'!$B$11</f>
        <v>English</v>
      </c>
      <c r="C223" s="367" t="s">
        <v>35</v>
      </c>
      <c r="D223" s="367" t="s">
        <v>32</v>
      </c>
      <c r="E223" s="367" t="s">
        <v>20</v>
      </c>
      <c r="F223" s="367" t="s">
        <v>23</v>
      </c>
      <c r="G223" s="382">
        <f>Dubbing!AA21</f>
        <v>0</v>
      </c>
      <c r="H223" s="382">
        <f>Dubbing!AB21</f>
        <v>0</v>
      </c>
      <c r="I223" s="384">
        <f>Dubbing!AC21</f>
        <v>113</v>
      </c>
      <c r="J223" s="382">
        <f>Dubbing!$AE$21</f>
        <v>0</v>
      </c>
      <c r="K223" s="382">
        <f>Dubbing!$AF$21</f>
        <v>0.5</v>
      </c>
      <c r="L223" s="382" t="str">
        <f>Dubbing!$AH$21</f>
        <v>Workflow</v>
      </c>
      <c r="M223" s="407">
        <f>Dubbing!$AI$21</f>
        <v>0.15</v>
      </c>
      <c r="N223" s="391" t="str">
        <f>Dubbing!$AJ$21</f>
        <v>Note 3</v>
      </c>
    </row>
    <row r="224" spans="1:14" x14ac:dyDescent="0.35">
      <c r="A224" s="371" t="str">
        <f>'Summary (READ FIRST)'!$B$8</f>
        <v>Supplier 1</v>
      </c>
      <c r="B224" s="366" t="str">
        <f>'Summary (READ FIRST)'!$B$11</f>
        <v>English</v>
      </c>
      <c r="C224" s="366" t="s">
        <v>35</v>
      </c>
      <c r="D224" s="366" t="s">
        <v>33</v>
      </c>
      <c r="E224" s="366" t="s">
        <v>16</v>
      </c>
      <c r="F224" s="366" t="s">
        <v>36</v>
      </c>
      <c r="G224" s="382">
        <f>Dubbing!E22</f>
        <v>56</v>
      </c>
      <c r="H224" s="382">
        <f>Dubbing!G22</f>
        <v>28</v>
      </c>
      <c r="I224" s="382"/>
      <c r="J224" s="382">
        <f>Dubbing!$AE$22</f>
        <v>1</v>
      </c>
      <c r="K224" s="382">
        <f>Dubbing!$AF$22</f>
        <v>0.5</v>
      </c>
      <c r="L224" s="382" t="str">
        <f>Dubbing!$AH$22</f>
        <v>Tools</v>
      </c>
      <c r="M224" s="407">
        <f>Dubbing!$AI$22</f>
        <v>0.1</v>
      </c>
      <c r="N224" s="391" t="str">
        <f>Dubbing!$AJ$22</f>
        <v>Note 3</v>
      </c>
    </row>
    <row r="225" spans="1:14" x14ac:dyDescent="0.35">
      <c r="A225" s="368" t="str">
        <f>'Summary (READ FIRST)'!$B$8</f>
        <v>Supplier 1</v>
      </c>
      <c r="B225" s="367" t="str">
        <f>'Summary (READ FIRST)'!$B$11</f>
        <v>English</v>
      </c>
      <c r="C225" s="367" t="s">
        <v>35</v>
      </c>
      <c r="D225" s="367" t="s">
        <v>33</v>
      </c>
      <c r="E225" s="367" t="s">
        <v>16</v>
      </c>
      <c r="F225" s="367" t="s">
        <v>37</v>
      </c>
      <c r="G225" s="382">
        <f>Dubbing!F22</f>
        <v>61</v>
      </c>
      <c r="H225" s="382">
        <f>Dubbing!H22</f>
        <v>75</v>
      </c>
      <c r="I225" s="382"/>
      <c r="J225" s="382">
        <f>Dubbing!$AE$22</f>
        <v>1</v>
      </c>
      <c r="K225" s="382">
        <f>Dubbing!$AF$22</f>
        <v>0.5</v>
      </c>
      <c r="L225" s="382" t="str">
        <f>Dubbing!$AH$22</f>
        <v>Tools</v>
      </c>
      <c r="M225" s="407">
        <f>Dubbing!$AI$22</f>
        <v>0.1</v>
      </c>
      <c r="N225" s="391" t="str">
        <f>Dubbing!$AJ$22</f>
        <v>Note 3</v>
      </c>
    </row>
    <row r="226" spans="1:14" x14ac:dyDescent="0.35">
      <c r="A226" s="368" t="str">
        <f>'Summary (READ FIRST)'!$B$8</f>
        <v>Supplier 1</v>
      </c>
      <c r="B226" s="367" t="str">
        <f>'Summary (READ FIRST)'!$B$11</f>
        <v>English</v>
      </c>
      <c r="C226" s="367" t="s">
        <v>35</v>
      </c>
      <c r="D226" s="367" t="s">
        <v>33</v>
      </c>
      <c r="E226" s="367" t="s">
        <v>16</v>
      </c>
      <c r="F226" s="367" t="s">
        <v>38</v>
      </c>
      <c r="G226" s="382">
        <f>Dubbing!J22</f>
        <v>79</v>
      </c>
      <c r="H226" s="382">
        <f>Dubbing!L22</f>
        <v>76</v>
      </c>
      <c r="I226" s="382"/>
      <c r="J226" s="382">
        <f>Dubbing!$AE$22</f>
        <v>1</v>
      </c>
      <c r="K226" s="382">
        <f>Dubbing!$AF$22</f>
        <v>0.5</v>
      </c>
      <c r="L226" s="382" t="str">
        <f>Dubbing!$AH$22</f>
        <v>Tools</v>
      </c>
      <c r="M226" s="407">
        <f>Dubbing!$AI$22</f>
        <v>0.1</v>
      </c>
      <c r="N226" s="391" t="str">
        <f>Dubbing!$AJ$22</f>
        <v>Note 3</v>
      </c>
    </row>
    <row r="227" spans="1:14" x14ac:dyDescent="0.35">
      <c r="A227" s="368" t="str">
        <f>'Summary (READ FIRST)'!$B$8</f>
        <v>Supplier 1</v>
      </c>
      <c r="B227" s="367" t="str">
        <f>'Summary (READ FIRST)'!$B$11</f>
        <v>English</v>
      </c>
      <c r="C227" s="367" t="s">
        <v>35</v>
      </c>
      <c r="D227" s="367" t="s">
        <v>33</v>
      </c>
      <c r="E227" s="367" t="s">
        <v>16</v>
      </c>
      <c r="F227" s="367" t="s">
        <v>39</v>
      </c>
      <c r="G227" s="382">
        <f>Dubbing!K22</f>
        <v>54</v>
      </c>
      <c r="H227" s="382">
        <f>Dubbing!M22</f>
        <v>46</v>
      </c>
      <c r="I227" s="382"/>
      <c r="J227" s="382">
        <f>Dubbing!$AE$22</f>
        <v>1</v>
      </c>
      <c r="K227" s="382">
        <f>Dubbing!$AF$22</f>
        <v>0.5</v>
      </c>
      <c r="L227" s="382" t="str">
        <f>Dubbing!$AH$22</f>
        <v>Tools</v>
      </c>
      <c r="M227" s="407">
        <f>Dubbing!$AI$22</f>
        <v>0.1</v>
      </c>
      <c r="N227" s="391" t="str">
        <f>Dubbing!$AJ$22</f>
        <v>Note 3</v>
      </c>
    </row>
    <row r="228" spans="1:14" x14ac:dyDescent="0.35">
      <c r="A228" s="368" t="str">
        <f>'Summary (READ FIRST)'!$B$8</f>
        <v>Supplier 1</v>
      </c>
      <c r="B228" s="367" t="str">
        <f>'Summary (READ FIRST)'!$B$11</f>
        <v>English</v>
      </c>
      <c r="C228" s="367" t="s">
        <v>35</v>
      </c>
      <c r="D228" s="367" t="s">
        <v>33</v>
      </c>
      <c r="E228" s="367" t="s">
        <v>16</v>
      </c>
      <c r="F228" s="367" t="s">
        <v>40</v>
      </c>
      <c r="G228" s="382">
        <f>Dubbing!O22</f>
        <v>111</v>
      </c>
      <c r="H228" s="382">
        <f>Dubbing!Q22</f>
        <v>0</v>
      </c>
      <c r="I228" s="382"/>
      <c r="J228" s="382">
        <f>Dubbing!$AE$22</f>
        <v>1</v>
      </c>
      <c r="K228" s="382">
        <f>Dubbing!$AF$22</f>
        <v>0.5</v>
      </c>
      <c r="L228" s="382" t="str">
        <f>Dubbing!$AH$22</f>
        <v>Tools</v>
      </c>
      <c r="M228" s="407">
        <f>Dubbing!$AI$22</f>
        <v>0.1</v>
      </c>
      <c r="N228" s="391" t="str">
        <f>Dubbing!$AJ$22</f>
        <v>Note 3</v>
      </c>
    </row>
    <row r="229" spans="1:14" x14ac:dyDescent="0.35">
      <c r="A229" s="368" t="str">
        <f>'Summary (READ FIRST)'!$B$8</f>
        <v>Supplier 1</v>
      </c>
      <c r="B229" s="367" t="str">
        <f>'Summary (READ FIRST)'!$B$11</f>
        <v>English</v>
      </c>
      <c r="C229" s="367" t="s">
        <v>35</v>
      </c>
      <c r="D229" s="367" t="s">
        <v>33</v>
      </c>
      <c r="E229" s="367" t="s">
        <v>16</v>
      </c>
      <c r="F229" s="367" t="s">
        <v>41</v>
      </c>
      <c r="G229" s="382">
        <f>Dubbing!P22</f>
        <v>119</v>
      </c>
      <c r="H229" s="382">
        <f>Dubbing!R22</f>
        <v>60</v>
      </c>
      <c r="I229" s="382"/>
      <c r="J229" s="382">
        <f>Dubbing!$AE$22</f>
        <v>1</v>
      </c>
      <c r="K229" s="382">
        <f>Dubbing!$AF$22</f>
        <v>0.5</v>
      </c>
      <c r="L229" s="382" t="str">
        <f>Dubbing!$AH$22</f>
        <v>Tools</v>
      </c>
      <c r="M229" s="407">
        <f>Dubbing!$AI$22</f>
        <v>0.1</v>
      </c>
      <c r="N229" s="391" t="str">
        <f>Dubbing!$AJ$22</f>
        <v>Note 3</v>
      </c>
    </row>
    <row r="230" spans="1:14" x14ac:dyDescent="0.35">
      <c r="A230" s="368" t="str">
        <f>'Summary (READ FIRST)'!$B$8</f>
        <v>Supplier 1</v>
      </c>
      <c r="B230" s="367" t="str">
        <f>'Summary (READ FIRST)'!$B$11</f>
        <v>English</v>
      </c>
      <c r="C230" s="367" t="s">
        <v>35</v>
      </c>
      <c r="D230" s="367" t="s">
        <v>33</v>
      </c>
      <c r="E230" s="367" t="s">
        <v>20</v>
      </c>
      <c r="F230" s="367" t="s">
        <v>42</v>
      </c>
      <c r="G230" s="382">
        <f>Dubbing!T22</f>
        <v>102</v>
      </c>
      <c r="H230" s="382">
        <f>Dubbing!V22</f>
        <v>49</v>
      </c>
      <c r="I230" s="384">
        <f>Dubbing!X22</f>
        <v>59</v>
      </c>
      <c r="J230" s="382">
        <f>Dubbing!$AE$22</f>
        <v>1</v>
      </c>
      <c r="K230" s="382">
        <f>Dubbing!$AF$22</f>
        <v>0.5</v>
      </c>
      <c r="L230" s="382" t="str">
        <f>Dubbing!$AH$22</f>
        <v>Tools</v>
      </c>
      <c r="M230" s="407">
        <f>Dubbing!$AI$22</f>
        <v>0.1</v>
      </c>
      <c r="N230" s="391" t="str">
        <f>Dubbing!$AJ$22</f>
        <v>Note 3</v>
      </c>
    </row>
    <row r="231" spans="1:14" x14ac:dyDescent="0.35">
      <c r="A231" s="368" t="str">
        <f>'Summary (READ FIRST)'!$B$8</f>
        <v>Supplier 1</v>
      </c>
      <c r="B231" s="367" t="str">
        <f>'Summary (READ FIRST)'!$B$11</f>
        <v>English</v>
      </c>
      <c r="C231" s="367" t="s">
        <v>35</v>
      </c>
      <c r="D231" s="367" t="s">
        <v>33</v>
      </c>
      <c r="E231" s="367" t="s">
        <v>20</v>
      </c>
      <c r="F231" s="367" t="s">
        <v>43</v>
      </c>
      <c r="G231" s="382">
        <f>Dubbing!U22</f>
        <v>59</v>
      </c>
      <c r="H231" s="382">
        <f>Dubbing!W22</f>
        <v>72</v>
      </c>
      <c r="I231" s="384">
        <f>Dubbing!Y22</f>
        <v>59</v>
      </c>
      <c r="J231" s="382">
        <f>Dubbing!$AE$22</f>
        <v>1</v>
      </c>
      <c r="K231" s="382">
        <f>Dubbing!$AF$22</f>
        <v>0.5</v>
      </c>
      <c r="L231" s="382" t="str">
        <f>Dubbing!$AH$22</f>
        <v>Tools</v>
      </c>
      <c r="M231" s="407">
        <f>Dubbing!$AI$22</f>
        <v>0.1</v>
      </c>
      <c r="N231" s="391" t="str">
        <f>Dubbing!$AJ$22</f>
        <v>Note 3</v>
      </c>
    </row>
    <row r="232" spans="1:14" x14ac:dyDescent="0.35">
      <c r="A232" s="368" t="str">
        <f>'Summary (READ FIRST)'!$B$8</f>
        <v>Supplier 1</v>
      </c>
      <c r="B232" s="367" t="str">
        <f>'Summary (READ FIRST)'!$B$11</f>
        <v>English</v>
      </c>
      <c r="C232" s="367" t="s">
        <v>35</v>
      </c>
      <c r="D232" s="367" t="s">
        <v>33</v>
      </c>
      <c r="E232" s="367" t="s">
        <v>20</v>
      </c>
      <c r="F232" s="367" t="s">
        <v>23</v>
      </c>
      <c r="G232" s="382">
        <f>Dubbing!AA22</f>
        <v>77</v>
      </c>
      <c r="H232" s="382">
        <f>Dubbing!AB22</f>
        <v>66</v>
      </c>
      <c r="I232" s="384">
        <f>Dubbing!AC22</f>
        <v>109</v>
      </c>
      <c r="J232" s="382">
        <f>Dubbing!$AE$22</f>
        <v>1</v>
      </c>
      <c r="K232" s="382">
        <f>Dubbing!$AF$22</f>
        <v>0.5</v>
      </c>
      <c r="L232" s="382" t="str">
        <f>Dubbing!$AH$22</f>
        <v>Tools</v>
      </c>
      <c r="M232" s="407">
        <f>Dubbing!$AI$22</f>
        <v>0.1</v>
      </c>
      <c r="N232" s="391" t="str">
        <f>Dubbing!$AJ$22</f>
        <v>Note 3</v>
      </c>
    </row>
    <row r="233" spans="1:14" s="367" customFormat="1" x14ac:dyDescent="0.35">
      <c r="A233" s="371" t="str">
        <f>'Summary (READ FIRST)'!$B$8</f>
        <v>Supplier 1</v>
      </c>
      <c r="B233" s="366" t="str">
        <f>'Summary (READ FIRST)'!$B$11</f>
        <v>English</v>
      </c>
      <c r="C233" s="366" t="s">
        <v>44</v>
      </c>
      <c r="D233" s="366" t="s">
        <v>15</v>
      </c>
      <c r="E233" s="366" t="s">
        <v>16</v>
      </c>
      <c r="F233" s="366" t="s">
        <v>36</v>
      </c>
      <c r="G233" s="382">
        <f>'Audio Desc.'!E12</f>
        <v>86</v>
      </c>
      <c r="H233" s="382">
        <f>'Audio Desc.'!G12</f>
        <v>26</v>
      </c>
      <c r="I233" s="382"/>
      <c r="J233" s="382">
        <f>'Audio Desc.'!$AE$12</f>
        <v>1</v>
      </c>
      <c r="K233" s="382">
        <f>'Audio Desc.'!$AF$12</f>
        <v>0.5</v>
      </c>
      <c r="L233" s="382" t="str">
        <f>'Audio Desc.'!$AH$12</f>
        <v>Tools</v>
      </c>
      <c r="M233" s="407">
        <f>'Audio Desc.'!$AI$12</f>
        <v>0.15</v>
      </c>
      <c r="N233" s="391" t="str">
        <f>'Audio Desc.'!$AJ$12</f>
        <v>Note 4</v>
      </c>
    </row>
    <row r="234" spans="1:14" s="367" customFormat="1" x14ac:dyDescent="0.35">
      <c r="A234" s="368" t="str">
        <f>'Summary (READ FIRST)'!$B$8</f>
        <v>Supplier 1</v>
      </c>
      <c r="B234" s="367" t="str">
        <f>'Summary (READ FIRST)'!$B$11</f>
        <v>English</v>
      </c>
      <c r="C234" s="367" t="s">
        <v>44</v>
      </c>
      <c r="D234" s="367" t="s">
        <v>15</v>
      </c>
      <c r="E234" s="367" t="s">
        <v>16</v>
      </c>
      <c r="F234" s="367" t="s">
        <v>37</v>
      </c>
      <c r="G234" s="382">
        <f>'Audio Desc.'!F12</f>
        <v>85</v>
      </c>
      <c r="H234" s="382">
        <f>'Audio Desc.'!H12</f>
        <v>17</v>
      </c>
      <c r="I234" s="382"/>
      <c r="J234" s="382">
        <f>'Audio Desc.'!$AE$12</f>
        <v>1</v>
      </c>
      <c r="K234" s="382">
        <f>'Audio Desc.'!$AF$12</f>
        <v>0.5</v>
      </c>
      <c r="L234" s="382" t="str">
        <f>'Audio Desc.'!$AH$12</f>
        <v>Tools</v>
      </c>
      <c r="M234" s="407">
        <f>'Audio Desc.'!$AI$12</f>
        <v>0.15</v>
      </c>
      <c r="N234" s="391" t="str">
        <f>'Audio Desc.'!$AJ$12</f>
        <v>Note 4</v>
      </c>
    </row>
    <row r="235" spans="1:14" s="367" customFormat="1" x14ac:dyDescent="0.35">
      <c r="A235" s="368" t="str">
        <f>'Summary (READ FIRST)'!$B$8</f>
        <v>Supplier 1</v>
      </c>
      <c r="B235" s="367" t="str">
        <f>'Summary (READ FIRST)'!$B$11</f>
        <v>English</v>
      </c>
      <c r="C235" s="367" t="s">
        <v>44</v>
      </c>
      <c r="D235" s="367" t="s">
        <v>15</v>
      </c>
      <c r="E235" s="367" t="s">
        <v>16</v>
      </c>
      <c r="F235" s="367" t="s">
        <v>38</v>
      </c>
      <c r="G235" s="382">
        <f>'Audio Desc.'!J12</f>
        <v>43</v>
      </c>
      <c r="H235" s="382">
        <f>'Audio Desc.'!L12</f>
        <v>16</v>
      </c>
      <c r="I235" s="382"/>
      <c r="J235" s="382">
        <f>'Audio Desc.'!$AE$12</f>
        <v>1</v>
      </c>
      <c r="K235" s="382">
        <f>'Audio Desc.'!$AF$12</f>
        <v>0.5</v>
      </c>
      <c r="L235" s="382" t="str">
        <f>'Audio Desc.'!$AH$12</f>
        <v>Tools</v>
      </c>
      <c r="M235" s="407">
        <f>'Audio Desc.'!$AI$12</f>
        <v>0.15</v>
      </c>
      <c r="N235" s="391" t="str">
        <f>'Audio Desc.'!$AJ$12</f>
        <v>Note 4</v>
      </c>
    </row>
    <row r="236" spans="1:14" s="367" customFormat="1" x14ac:dyDescent="0.35">
      <c r="A236" s="368" t="str">
        <f>'Summary (READ FIRST)'!$B$8</f>
        <v>Supplier 1</v>
      </c>
      <c r="B236" s="367" t="str">
        <f>'Summary (READ FIRST)'!$B$11</f>
        <v>English</v>
      </c>
      <c r="C236" s="367" t="s">
        <v>44</v>
      </c>
      <c r="D236" s="367" t="s">
        <v>15</v>
      </c>
      <c r="E236" s="367" t="s">
        <v>16</v>
      </c>
      <c r="F236" s="367" t="s">
        <v>39</v>
      </c>
      <c r="G236" s="382">
        <f>'Audio Desc.'!K12</f>
        <v>83</v>
      </c>
      <c r="H236" s="382">
        <f>'Audio Desc.'!M12</f>
        <v>17</v>
      </c>
      <c r="I236" s="382"/>
      <c r="J236" s="382">
        <f>'Audio Desc.'!$AE$12</f>
        <v>1</v>
      </c>
      <c r="K236" s="382">
        <f>'Audio Desc.'!$AF$12</f>
        <v>0.5</v>
      </c>
      <c r="L236" s="382" t="str">
        <f>'Audio Desc.'!$AH$12</f>
        <v>Tools</v>
      </c>
      <c r="M236" s="407">
        <f>'Audio Desc.'!$AI$12</f>
        <v>0.15</v>
      </c>
      <c r="N236" s="391" t="str">
        <f>'Audio Desc.'!$AJ$12</f>
        <v>Note 4</v>
      </c>
    </row>
    <row r="237" spans="1:14" s="367" customFormat="1" x14ac:dyDescent="0.35">
      <c r="A237" s="368" t="str">
        <f>'Summary (READ FIRST)'!$B$8</f>
        <v>Supplier 1</v>
      </c>
      <c r="B237" s="367" t="str">
        <f>'Summary (READ FIRST)'!$B$11</f>
        <v>English</v>
      </c>
      <c r="C237" s="367" t="s">
        <v>44</v>
      </c>
      <c r="D237" s="367" t="s">
        <v>15</v>
      </c>
      <c r="E237" s="367" t="s">
        <v>16</v>
      </c>
      <c r="F237" s="367" t="s">
        <v>40</v>
      </c>
      <c r="G237" s="382">
        <f>'Audio Desc.'!O12</f>
        <v>42</v>
      </c>
      <c r="H237" s="382">
        <f>'Audio Desc.'!Q12</f>
        <v>52</v>
      </c>
      <c r="I237" s="382"/>
      <c r="J237" s="382">
        <f>'Audio Desc.'!$AE$12</f>
        <v>1</v>
      </c>
      <c r="K237" s="382">
        <f>'Audio Desc.'!$AF$12</f>
        <v>0.5</v>
      </c>
      <c r="L237" s="382" t="str">
        <f>'Audio Desc.'!$AH$12</f>
        <v>Tools</v>
      </c>
      <c r="M237" s="407">
        <f>'Audio Desc.'!$AI$12</f>
        <v>0.15</v>
      </c>
      <c r="N237" s="391" t="str">
        <f>'Audio Desc.'!$AJ$12</f>
        <v>Note 4</v>
      </c>
    </row>
    <row r="238" spans="1:14" s="367" customFormat="1" x14ac:dyDescent="0.35">
      <c r="A238" s="368" t="str">
        <f>'Summary (READ FIRST)'!$B$8</f>
        <v>Supplier 1</v>
      </c>
      <c r="B238" s="367" t="str">
        <f>'Summary (READ FIRST)'!$B$11</f>
        <v>English</v>
      </c>
      <c r="C238" s="367" t="s">
        <v>44</v>
      </c>
      <c r="D238" s="367" t="s">
        <v>15</v>
      </c>
      <c r="E238" s="367" t="s">
        <v>16</v>
      </c>
      <c r="F238" s="367" t="s">
        <v>41</v>
      </c>
      <c r="G238" s="382">
        <f>'Audio Desc.'!P12</f>
        <v>79</v>
      </c>
      <c r="H238" s="382">
        <f>'Audio Desc.'!R12</f>
        <v>15</v>
      </c>
      <c r="I238" s="382"/>
      <c r="J238" s="382">
        <f>'Audio Desc.'!$AE$12</f>
        <v>1</v>
      </c>
      <c r="K238" s="382">
        <f>'Audio Desc.'!$AF$12</f>
        <v>0.5</v>
      </c>
      <c r="L238" s="382" t="str">
        <f>'Audio Desc.'!$AH$12</f>
        <v>Tools</v>
      </c>
      <c r="M238" s="407">
        <f>'Audio Desc.'!$AI$12</f>
        <v>0.15</v>
      </c>
      <c r="N238" s="391" t="str">
        <f>'Audio Desc.'!$AJ$12</f>
        <v>Note 4</v>
      </c>
    </row>
    <row r="239" spans="1:14" s="367" customFormat="1" x14ac:dyDescent="0.35">
      <c r="A239" s="368" t="str">
        <f>'Summary (READ FIRST)'!$B$8</f>
        <v>Supplier 1</v>
      </c>
      <c r="B239" s="367" t="str">
        <f>'Summary (READ FIRST)'!$B$11</f>
        <v>English</v>
      </c>
      <c r="C239" s="367" t="s">
        <v>44</v>
      </c>
      <c r="D239" s="367" t="s">
        <v>15</v>
      </c>
      <c r="E239" s="367" t="s">
        <v>20</v>
      </c>
      <c r="F239" s="367" t="s">
        <v>42</v>
      </c>
      <c r="G239" s="382">
        <f>'Audio Desc.'!T12</f>
        <v>85</v>
      </c>
      <c r="H239" s="382">
        <f>'Audio Desc.'!V12</f>
        <v>60</v>
      </c>
      <c r="I239" s="384">
        <f>'Audio Desc.'!X12</f>
        <v>96</v>
      </c>
      <c r="J239" s="382">
        <f>'Audio Desc.'!$AE$12</f>
        <v>1</v>
      </c>
      <c r="K239" s="382">
        <f>'Audio Desc.'!$AF$12</f>
        <v>0.5</v>
      </c>
      <c r="L239" s="382" t="str">
        <f>'Audio Desc.'!$AH$12</f>
        <v>Tools</v>
      </c>
      <c r="M239" s="407">
        <f>'Audio Desc.'!$AI$12</f>
        <v>0.15</v>
      </c>
      <c r="N239" s="391" t="str">
        <f>'Audio Desc.'!$AJ$12</f>
        <v>Note 4</v>
      </c>
    </row>
    <row r="240" spans="1:14" s="367" customFormat="1" x14ac:dyDescent="0.35">
      <c r="A240" s="368" t="str">
        <f>'Summary (READ FIRST)'!$B$8</f>
        <v>Supplier 1</v>
      </c>
      <c r="B240" s="367" t="str">
        <f>'Summary (READ FIRST)'!$B$11</f>
        <v>English</v>
      </c>
      <c r="C240" s="367" t="s">
        <v>44</v>
      </c>
      <c r="D240" s="367" t="s">
        <v>15</v>
      </c>
      <c r="E240" s="367" t="s">
        <v>20</v>
      </c>
      <c r="F240" s="367" t="s">
        <v>43</v>
      </c>
      <c r="G240" s="382">
        <f>'Audio Desc.'!U12</f>
        <v>93</v>
      </c>
      <c r="H240" s="382">
        <f>'Audio Desc.'!W12</f>
        <v>49</v>
      </c>
      <c r="I240" s="384">
        <f>'Audio Desc.'!Y12</f>
        <v>34</v>
      </c>
      <c r="J240" s="382">
        <f>'Audio Desc.'!$AE$12</f>
        <v>1</v>
      </c>
      <c r="K240" s="382">
        <f>'Audio Desc.'!$AF$12</f>
        <v>0.5</v>
      </c>
      <c r="L240" s="382" t="str">
        <f>'Audio Desc.'!$AH$12</f>
        <v>Tools</v>
      </c>
      <c r="M240" s="407">
        <f>'Audio Desc.'!$AI$12</f>
        <v>0.15</v>
      </c>
      <c r="N240" s="391" t="str">
        <f>'Audio Desc.'!$AJ$12</f>
        <v>Note 4</v>
      </c>
    </row>
    <row r="241" spans="1:14" s="367" customFormat="1" x14ac:dyDescent="0.35">
      <c r="A241" s="368" t="str">
        <f>'Summary (READ FIRST)'!$B$8</f>
        <v>Supplier 1</v>
      </c>
      <c r="B241" s="367" t="str">
        <f>'Summary (READ FIRST)'!$B$11</f>
        <v>English</v>
      </c>
      <c r="C241" s="367" t="s">
        <v>44</v>
      </c>
      <c r="D241" s="367" t="s">
        <v>15</v>
      </c>
      <c r="E241" s="367" t="s">
        <v>20</v>
      </c>
      <c r="F241" s="367" t="s">
        <v>23</v>
      </c>
      <c r="G241" s="382">
        <f>'Audio Desc.'!AA12</f>
        <v>61</v>
      </c>
      <c r="H241" s="382">
        <f>'Audio Desc.'!AB12</f>
        <v>33</v>
      </c>
      <c r="I241" s="384">
        <f>'Audio Desc.'!AC12</f>
        <v>48</v>
      </c>
      <c r="J241" s="382">
        <f>'Audio Desc.'!$AE$12</f>
        <v>1</v>
      </c>
      <c r="K241" s="382">
        <f>'Audio Desc.'!$AF$12</f>
        <v>0.5</v>
      </c>
      <c r="L241" s="382" t="str">
        <f>'Audio Desc.'!$AH$12</f>
        <v>Tools</v>
      </c>
      <c r="M241" s="407">
        <f>'Audio Desc.'!$AI$12</f>
        <v>0.15</v>
      </c>
      <c r="N241" s="391" t="str">
        <f>'Audio Desc.'!$AJ$12</f>
        <v>Note 4</v>
      </c>
    </row>
    <row r="242" spans="1:14" x14ac:dyDescent="0.35">
      <c r="A242" s="372" t="str">
        <f>'Summary (READ FIRST)'!$B$8</f>
        <v>Supplier 1</v>
      </c>
      <c r="B242" s="373" t="str">
        <f>'Summary (READ FIRST)'!$B$11</f>
        <v>English</v>
      </c>
      <c r="C242" s="373" t="s">
        <v>44</v>
      </c>
      <c r="D242" s="373" t="s">
        <v>24</v>
      </c>
      <c r="E242" s="373" t="s">
        <v>16</v>
      </c>
      <c r="F242" s="373" t="s">
        <v>36</v>
      </c>
      <c r="G242" s="382">
        <f>'Audio Desc.'!E13</f>
        <v>86</v>
      </c>
      <c r="H242" s="382">
        <f>'Audio Desc.'!G13</f>
        <v>55</v>
      </c>
      <c r="I242" s="382"/>
      <c r="J242" s="382">
        <f>'Audio Desc.'!$AE$13</f>
        <v>1</v>
      </c>
      <c r="K242" s="382">
        <f>'Audio Desc.'!$AF$13</f>
        <v>0.5</v>
      </c>
      <c r="L242" s="382">
        <f>'Audio Desc.'!$AH$13</f>
        <v>0</v>
      </c>
      <c r="M242" s="407">
        <f>'Audio Desc.'!$AI$13</f>
        <v>0.1</v>
      </c>
      <c r="N242" s="391" t="str">
        <f>'Audio Desc.'!$AJ$13</f>
        <v>Note 4</v>
      </c>
    </row>
    <row r="243" spans="1:14" x14ac:dyDescent="0.35">
      <c r="A243" s="374" t="str">
        <f>'Summary (READ FIRST)'!$B$8</f>
        <v>Supplier 1</v>
      </c>
      <c r="B243" s="375" t="str">
        <f>'Summary (READ FIRST)'!$B$11</f>
        <v>English</v>
      </c>
      <c r="C243" s="375" t="s">
        <v>44</v>
      </c>
      <c r="D243" s="375" t="s">
        <v>24</v>
      </c>
      <c r="E243" s="375" t="s">
        <v>16</v>
      </c>
      <c r="F243" s="375" t="s">
        <v>37</v>
      </c>
      <c r="G243" s="382">
        <f>'Audio Desc.'!F13</f>
        <v>44</v>
      </c>
      <c r="H243" s="382">
        <f>'Audio Desc.'!H13</f>
        <v>36</v>
      </c>
      <c r="I243" s="382"/>
      <c r="J243" s="382">
        <f>'Audio Desc.'!$AE$13</f>
        <v>1</v>
      </c>
      <c r="K243" s="382">
        <f>'Audio Desc.'!$AF$13</f>
        <v>0.5</v>
      </c>
      <c r="L243" s="382">
        <f>'Audio Desc.'!$AH$13</f>
        <v>0</v>
      </c>
      <c r="M243" s="407">
        <f>'Audio Desc.'!$AI$13</f>
        <v>0.1</v>
      </c>
      <c r="N243" s="391" t="str">
        <f>'Audio Desc.'!$AJ$13</f>
        <v>Note 4</v>
      </c>
    </row>
    <row r="244" spans="1:14" x14ac:dyDescent="0.35">
      <c r="A244" s="374" t="str">
        <f>'Summary (READ FIRST)'!$B$8</f>
        <v>Supplier 1</v>
      </c>
      <c r="B244" s="375" t="str">
        <f>'Summary (READ FIRST)'!$B$11</f>
        <v>English</v>
      </c>
      <c r="C244" s="375" t="s">
        <v>44</v>
      </c>
      <c r="D244" s="375" t="s">
        <v>24</v>
      </c>
      <c r="E244" s="375" t="s">
        <v>16</v>
      </c>
      <c r="F244" s="375" t="s">
        <v>38</v>
      </c>
      <c r="G244" s="382">
        <f>'Audio Desc.'!J13</f>
        <v>82</v>
      </c>
      <c r="H244" s="382">
        <f>'Audio Desc.'!L13</f>
        <v>17</v>
      </c>
      <c r="I244" s="382"/>
      <c r="J244" s="382">
        <f>'Audio Desc.'!$AE$13</f>
        <v>1</v>
      </c>
      <c r="K244" s="382">
        <f>'Audio Desc.'!$AF$13</f>
        <v>0.5</v>
      </c>
      <c r="L244" s="382">
        <f>'Audio Desc.'!$AH$13</f>
        <v>0</v>
      </c>
      <c r="M244" s="407">
        <f>'Audio Desc.'!$AI$13</f>
        <v>0.1</v>
      </c>
      <c r="N244" s="391" t="str">
        <f>'Audio Desc.'!$AJ$13</f>
        <v>Note 4</v>
      </c>
    </row>
    <row r="245" spans="1:14" x14ac:dyDescent="0.35">
      <c r="A245" s="374" t="str">
        <f>'Summary (READ FIRST)'!$B$8</f>
        <v>Supplier 1</v>
      </c>
      <c r="B245" s="375" t="str">
        <f>'Summary (READ FIRST)'!$B$11</f>
        <v>English</v>
      </c>
      <c r="C245" s="375" t="s">
        <v>44</v>
      </c>
      <c r="D245" s="375" t="s">
        <v>24</v>
      </c>
      <c r="E245" s="375" t="s">
        <v>16</v>
      </c>
      <c r="F245" s="375" t="s">
        <v>39</v>
      </c>
      <c r="G245" s="382">
        <f>'Audio Desc.'!K13</f>
        <v>47</v>
      </c>
      <c r="H245" s="382">
        <f>'Audio Desc.'!M13</f>
        <v>86</v>
      </c>
      <c r="I245" s="382"/>
      <c r="J245" s="382">
        <f>'Audio Desc.'!$AE$13</f>
        <v>1</v>
      </c>
      <c r="K245" s="382">
        <f>'Audio Desc.'!$AF$13</f>
        <v>0.5</v>
      </c>
      <c r="L245" s="382">
        <f>'Audio Desc.'!$AH$13</f>
        <v>0</v>
      </c>
      <c r="M245" s="407">
        <f>'Audio Desc.'!$AI$13</f>
        <v>0.1</v>
      </c>
      <c r="N245" s="391" t="str">
        <f>'Audio Desc.'!$AJ$13</f>
        <v>Note 4</v>
      </c>
    </row>
    <row r="246" spans="1:14" x14ac:dyDescent="0.35">
      <c r="A246" s="374" t="str">
        <f>'Summary (READ FIRST)'!$B$8</f>
        <v>Supplier 1</v>
      </c>
      <c r="B246" s="375" t="str">
        <f>'Summary (READ FIRST)'!$B$11</f>
        <v>English</v>
      </c>
      <c r="C246" s="375" t="s">
        <v>44</v>
      </c>
      <c r="D246" s="375" t="s">
        <v>24</v>
      </c>
      <c r="E246" s="375" t="s">
        <v>16</v>
      </c>
      <c r="F246" s="375" t="s">
        <v>40</v>
      </c>
      <c r="G246" s="382">
        <f>'Audio Desc.'!O13</f>
        <v>17</v>
      </c>
      <c r="H246" s="382">
        <f>'Audio Desc.'!Q13</f>
        <v>94</v>
      </c>
      <c r="I246" s="382"/>
      <c r="J246" s="382">
        <f>'Audio Desc.'!$AE$13</f>
        <v>1</v>
      </c>
      <c r="K246" s="382">
        <f>'Audio Desc.'!$AF$13</f>
        <v>0.5</v>
      </c>
      <c r="L246" s="382">
        <f>'Audio Desc.'!$AH$13</f>
        <v>0</v>
      </c>
      <c r="M246" s="407">
        <f>'Audio Desc.'!$AI$13</f>
        <v>0.1</v>
      </c>
      <c r="N246" s="391" t="str">
        <f>'Audio Desc.'!$AJ$13</f>
        <v>Note 4</v>
      </c>
    </row>
    <row r="247" spans="1:14" x14ac:dyDescent="0.35">
      <c r="A247" s="374" t="str">
        <f>'Summary (READ FIRST)'!$B$8</f>
        <v>Supplier 1</v>
      </c>
      <c r="B247" s="375" t="str">
        <f>'Summary (READ FIRST)'!$B$11</f>
        <v>English</v>
      </c>
      <c r="C247" s="375" t="s">
        <v>44</v>
      </c>
      <c r="D247" s="375" t="s">
        <v>24</v>
      </c>
      <c r="E247" s="375" t="s">
        <v>16</v>
      </c>
      <c r="F247" s="375" t="s">
        <v>41</v>
      </c>
      <c r="G247" s="382">
        <f>'Audio Desc.'!P13</f>
        <v>45</v>
      </c>
      <c r="H247" s="382">
        <f>'Audio Desc.'!R13</f>
        <v>71</v>
      </c>
      <c r="I247" s="382"/>
      <c r="J247" s="382">
        <f>'Audio Desc.'!$AE$13</f>
        <v>1</v>
      </c>
      <c r="K247" s="382">
        <f>'Audio Desc.'!$AF$13</f>
        <v>0.5</v>
      </c>
      <c r="L247" s="382">
        <f>'Audio Desc.'!$AH$13</f>
        <v>0</v>
      </c>
      <c r="M247" s="407">
        <f>'Audio Desc.'!$AI$13</f>
        <v>0.1</v>
      </c>
      <c r="N247" s="391" t="str">
        <f>'Audio Desc.'!$AJ$13</f>
        <v>Note 4</v>
      </c>
    </row>
    <row r="248" spans="1:14" x14ac:dyDescent="0.35">
      <c r="A248" s="374" t="str">
        <f>'Summary (READ FIRST)'!$B$8</f>
        <v>Supplier 1</v>
      </c>
      <c r="B248" s="375" t="str">
        <f>'Summary (READ FIRST)'!$B$11</f>
        <v>English</v>
      </c>
      <c r="C248" s="375" t="s">
        <v>44</v>
      </c>
      <c r="D248" s="375" t="s">
        <v>24</v>
      </c>
      <c r="E248" s="375" t="s">
        <v>20</v>
      </c>
      <c r="F248" s="375" t="s">
        <v>42</v>
      </c>
      <c r="G248" s="382">
        <f>'Audio Desc.'!T13</f>
        <v>43</v>
      </c>
      <c r="H248" s="382">
        <f>'Audio Desc.'!V13</f>
        <v>36</v>
      </c>
      <c r="I248" s="384">
        <f>'Audio Desc.'!X13</f>
        <v>90</v>
      </c>
      <c r="J248" s="382">
        <f>'Audio Desc.'!$AE$13</f>
        <v>1</v>
      </c>
      <c r="K248" s="382">
        <f>'Audio Desc.'!$AF$13</f>
        <v>0.5</v>
      </c>
      <c r="L248" s="382">
        <f>'Audio Desc.'!$AH$13</f>
        <v>0</v>
      </c>
      <c r="M248" s="407">
        <f>'Audio Desc.'!$AI$13</f>
        <v>0.1</v>
      </c>
      <c r="N248" s="391" t="str">
        <f>'Audio Desc.'!$AJ$13</f>
        <v>Note 4</v>
      </c>
    </row>
    <row r="249" spans="1:14" x14ac:dyDescent="0.35">
      <c r="A249" s="374" t="str">
        <f>'Summary (READ FIRST)'!$B$8</f>
        <v>Supplier 1</v>
      </c>
      <c r="B249" s="375" t="str">
        <f>'Summary (READ FIRST)'!$B$11</f>
        <v>English</v>
      </c>
      <c r="C249" s="375" t="s">
        <v>44</v>
      </c>
      <c r="D249" s="375" t="s">
        <v>24</v>
      </c>
      <c r="E249" s="375" t="s">
        <v>20</v>
      </c>
      <c r="F249" s="375" t="s">
        <v>43</v>
      </c>
      <c r="G249" s="382">
        <f>'Audio Desc.'!U13</f>
        <v>96</v>
      </c>
      <c r="H249" s="382">
        <f>'Audio Desc.'!W13</f>
        <v>44</v>
      </c>
      <c r="I249" s="384">
        <f>'Audio Desc.'!Y13</f>
        <v>83</v>
      </c>
      <c r="J249" s="382">
        <f>'Audio Desc.'!$AE$13</f>
        <v>1</v>
      </c>
      <c r="K249" s="382">
        <f>'Audio Desc.'!$AF$13</f>
        <v>0.5</v>
      </c>
      <c r="L249" s="382">
        <f>'Audio Desc.'!$AH$13</f>
        <v>0</v>
      </c>
      <c r="M249" s="407">
        <f>'Audio Desc.'!$AI$13</f>
        <v>0.1</v>
      </c>
      <c r="N249" s="391" t="str">
        <f>'Audio Desc.'!$AJ$13</f>
        <v>Note 4</v>
      </c>
    </row>
    <row r="250" spans="1:14" x14ac:dyDescent="0.35">
      <c r="A250" s="374" t="str">
        <f>'Summary (READ FIRST)'!$B$8</f>
        <v>Supplier 1</v>
      </c>
      <c r="B250" s="375" t="str">
        <f>'Summary (READ FIRST)'!$B$11</f>
        <v>English</v>
      </c>
      <c r="C250" s="375" t="s">
        <v>44</v>
      </c>
      <c r="D250" s="375" t="s">
        <v>24</v>
      </c>
      <c r="E250" s="375" t="s">
        <v>20</v>
      </c>
      <c r="F250" s="375" t="s">
        <v>23</v>
      </c>
      <c r="G250" s="382">
        <f>'Audio Desc.'!AA13</f>
        <v>69</v>
      </c>
      <c r="H250" s="382">
        <f>'Audio Desc.'!AB13</f>
        <v>52</v>
      </c>
      <c r="I250" s="384">
        <f>'Audio Desc.'!AC13</f>
        <v>55</v>
      </c>
      <c r="J250" s="382">
        <f>'Audio Desc.'!$AE$13</f>
        <v>1</v>
      </c>
      <c r="K250" s="382">
        <f>'Audio Desc.'!$AF$13</f>
        <v>0.5</v>
      </c>
      <c r="L250" s="382">
        <f>'Audio Desc.'!$AH$13</f>
        <v>0</v>
      </c>
      <c r="M250" s="407">
        <f>'Audio Desc.'!$AI$13</f>
        <v>0.1</v>
      </c>
      <c r="N250" s="391" t="str">
        <f>'Audio Desc.'!$AJ$13</f>
        <v>Note 4</v>
      </c>
    </row>
    <row r="251" spans="1:14" x14ac:dyDescent="0.35">
      <c r="A251" s="371" t="str">
        <f>'Summary (READ FIRST)'!$B$8</f>
        <v>Supplier 1</v>
      </c>
      <c r="B251" s="366" t="str">
        <f>'Summary (READ FIRST)'!$B$11</f>
        <v>English</v>
      </c>
      <c r="C251" s="366" t="s">
        <v>44</v>
      </c>
      <c r="D251" s="366" t="s">
        <v>25</v>
      </c>
      <c r="E251" s="366" t="s">
        <v>16</v>
      </c>
      <c r="F251" s="366" t="s">
        <v>36</v>
      </c>
      <c r="G251" s="382">
        <f>'Audio Desc.'!E14</f>
        <v>37</v>
      </c>
      <c r="H251" s="382">
        <f>'Audio Desc.'!G14</f>
        <v>17</v>
      </c>
      <c r="I251" s="382"/>
      <c r="J251" s="382">
        <f>'Audio Desc.'!$AE$14</f>
        <v>0</v>
      </c>
      <c r="K251" s="382">
        <f>'Audio Desc.'!$AF$14</f>
        <v>0.5</v>
      </c>
      <c r="L251" s="382" t="str">
        <f>'Audio Desc.'!$AH$14</f>
        <v>Automated system</v>
      </c>
      <c r="M251" s="407">
        <f>'Audio Desc.'!$AI$14</f>
        <v>0</v>
      </c>
      <c r="N251" s="391" t="str">
        <f>'Audio Desc.'!$AJ$14</f>
        <v>Note 4</v>
      </c>
    </row>
    <row r="252" spans="1:14" x14ac:dyDescent="0.35">
      <c r="A252" s="368" t="str">
        <f>'Summary (READ FIRST)'!$B$8</f>
        <v>Supplier 1</v>
      </c>
      <c r="B252" s="367" t="str">
        <f>'Summary (READ FIRST)'!$B$11</f>
        <v>English</v>
      </c>
      <c r="C252" s="367" t="s">
        <v>44</v>
      </c>
      <c r="D252" s="367" t="s">
        <v>25</v>
      </c>
      <c r="E252" s="367" t="s">
        <v>16</v>
      </c>
      <c r="F252" s="367" t="s">
        <v>37</v>
      </c>
      <c r="G252" s="382">
        <f>'Audio Desc.'!F14</f>
        <v>0</v>
      </c>
      <c r="H252" s="382">
        <f>'Audio Desc.'!H14</f>
        <v>29</v>
      </c>
      <c r="I252" s="382"/>
      <c r="J252" s="382">
        <f>'Audio Desc.'!$AE$14</f>
        <v>0</v>
      </c>
      <c r="K252" s="382">
        <f>'Audio Desc.'!$AF$14</f>
        <v>0.5</v>
      </c>
      <c r="L252" s="382" t="str">
        <f>'Audio Desc.'!$AH$14</f>
        <v>Automated system</v>
      </c>
      <c r="M252" s="407">
        <f>'Audio Desc.'!$AI$14</f>
        <v>0</v>
      </c>
      <c r="N252" s="391" t="str">
        <f>'Audio Desc.'!$AJ$14</f>
        <v>Note 4</v>
      </c>
    </row>
    <row r="253" spans="1:14" x14ac:dyDescent="0.35">
      <c r="A253" s="368" t="str">
        <f>'Summary (READ FIRST)'!$B$8</f>
        <v>Supplier 1</v>
      </c>
      <c r="B253" s="367" t="str">
        <f>'Summary (READ FIRST)'!$B$11</f>
        <v>English</v>
      </c>
      <c r="C253" s="367" t="s">
        <v>44</v>
      </c>
      <c r="D253" s="367" t="s">
        <v>25</v>
      </c>
      <c r="E253" s="367" t="s">
        <v>16</v>
      </c>
      <c r="F253" s="367" t="s">
        <v>38</v>
      </c>
      <c r="G253" s="382">
        <f>'Audio Desc.'!J14</f>
        <v>50</v>
      </c>
      <c r="H253" s="382">
        <f>'Audio Desc.'!L14</f>
        <v>23</v>
      </c>
      <c r="I253" s="382"/>
      <c r="J253" s="382">
        <f>'Audio Desc.'!$AE$14</f>
        <v>0</v>
      </c>
      <c r="K253" s="382">
        <f>'Audio Desc.'!$AF$14</f>
        <v>0.5</v>
      </c>
      <c r="L253" s="382" t="str">
        <f>'Audio Desc.'!$AH$14</f>
        <v>Automated system</v>
      </c>
      <c r="M253" s="407">
        <f>'Audio Desc.'!$AI$14</f>
        <v>0</v>
      </c>
      <c r="N253" s="391" t="str">
        <f>'Audio Desc.'!$AJ$14</f>
        <v>Note 4</v>
      </c>
    </row>
    <row r="254" spans="1:14" x14ac:dyDescent="0.35">
      <c r="A254" s="368" t="str">
        <f>'Summary (READ FIRST)'!$B$8</f>
        <v>Supplier 1</v>
      </c>
      <c r="B254" s="367" t="str">
        <f>'Summary (READ FIRST)'!$B$11</f>
        <v>English</v>
      </c>
      <c r="C254" s="367" t="s">
        <v>44</v>
      </c>
      <c r="D254" s="367" t="s">
        <v>25</v>
      </c>
      <c r="E254" s="367" t="s">
        <v>16</v>
      </c>
      <c r="F254" s="367" t="s">
        <v>39</v>
      </c>
      <c r="G254" s="382">
        <f>'Audio Desc.'!K14</f>
        <v>44</v>
      </c>
      <c r="H254" s="382">
        <f>'Audio Desc.'!M14</f>
        <v>0</v>
      </c>
      <c r="I254" s="382"/>
      <c r="J254" s="382">
        <f>'Audio Desc.'!$AE$14</f>
        <v>0</v>
      </c>
      <c r="K254" s="382">
        <f>'Audio Desc.'!$AF$14</f>
        <v>0.5</v>
      </c>
      <c r="L254" s="382" t="str">
        <f>'Audio Desc.'!$AH$14</f>
        <v>Automated system</v>
      </c>
      <c r="M254" s="407">
        <f>'Audio Desc.'!$AI$14</f>
        <v>0</v>
      </c>
      <c r="N254" s="391" t="str">
        <f>'Audio Desc.'!$AJ$14</f>
        <v>Note 4</v>
      </c>
    </row>
    <row r="255" spans="1:14" x14ac:dyDescent="0.35">
      <c r="A255" s="368" t="str">
        <f>'Summary (READ FIRST)'!$B$8</f>
        <v>Supplier 1</v>
      </c>
      <c r="B255" s="367" t="str">
        <f>'Summary (READ FIRST)'!$B$11</f>
        <v>English</v>
      </c>
      <c r="C255" s="367" t="s">
        <v>44</v>
      </c>
      <c r="D255" s="367" t="s">
        <v>25</v>
      </c>
      <c r="E255" s="367" t="s">
        <v>16</v>
      </c>
      <c r="F255" s="367" t="s">
        <v>40</v>
      </c>
      <c r="G255" s="382">
        <f>'Audio Desc.'!O14</f>
        <v>20</v>
      </c>
      <c r="H255" s="382">
        <f>'Audio Desc.'!Q14</f>
        <v>69</v>
      </c>
      <c r="I255" s="382"/>
      <c r="J255" s="382">
        <f>'Audio Desc.'!$AE$14</f>
        <v>0</v>
      </c>
      <c r="K255" s="382">
        <f>'Audio Desc.'!$AF$14</f>
        <v>0.5</v>
      </c>
      <c r="L255" s="382" t="str">
        <f>'Audio Desc.'!$AH$14</f>
        <v>Automated system</v>
      </c>
      <c r="M255" s="407">
        <f>'Audio Desc.'!$AI$14</f>
        <v>0</v>
      </c>
      <c r="N255" s="391" t="str">
        <f>'Audio Desc.'!$AJ$14</f>
        <v>Note 4</v>
      </c>
    </row>
    <row r="256" spans="1:14" x14ac:dyDescent="0.35">
      <c r="A256" s="368" t="str">
        <f>'Summary (READ FIRST)'!$B$8</f>
        <v>Supplier 1</v>
      </c>
      <c r="B256" s="367" t="str">
        <f>'Summary (READ FIRST)'!$B$11</f>
        <v>English</v>
      </c>
      <c r="C256" s="367" t="s">
        <v>44</v>
      </c>
      <c r="D256" s="367" t="s">
        <v>25</v>
      </c>
      <c r="E256" s="367" t="s">
        <v>16</v>
      </c>
      <c r="F256" s="367" t="s">
        <v>41</v>
      </c>
      <c r="G256" s="382">
        <f>'Audio Desc.'!P14</f>
        <v>0</v>
      </c>
      <c r="H256" s="382">
        <f>'Audio Desc.'!R14</f>
        <v>96</v>
      </c>
      <c r="I256" s="382"/>
      <c r="J256" s="382">
        <f>'Audio Desc.'!$AE$14</f>
        <v>0</v>
      </c>
      <c r="K256" s="382">
        <f>'Audio Desc.'!$AF$14</f>
        <v>0.5</v>
      </c>
      <c r="L256" s="382" t="str">
        <f>'Audio Desc.'!$AH$14</f>
        <v>Automated system</v>
      </c>
      <c r="M256" s="407">
        <f>'Audio Desc.'!$AI$14</f>
        <v>0</v>
      </c>
      <c r="N256" s="391" t="str">
        <f>'Audio Desc.'!$AJ$14</f>
        <v>Note 4</v>
      </c>
    </row>
    <row r="257" spans="1:14" x14ac:dyDescent="0.35">
      <c r="A257" s="368" t="str">
        <f>'Summary (READ FIRST)'!$B$8</f>
        <v>Supplier 1</v>
      </c>
      <c r="B257" s="367" t="str">
        <f>'Summary (READ FIRST)'!$B$11</f>
        <v>English</v>
      </c>
      <c r="C257" s="367" t="s">
        <v>44</v>
      </c>
      <c r="D257" s="367" t="s">
        <v>25</v>
      </c>
      <c r="E257" s="367" t="s">
        <v>20</v>
      </c>
      <c r="F257" s="367" t="s">
        <v>42</v>
      </c>
      <c r="G257" s="382">
        <f>'Audio Desc.'!T14</f>
        <v>30</v>
      </c>
      <c r="H257" s="382">
        <f>'Audio Desc.'!V14</f>
        <v>95</v>
      </c>
      <c r="I257" s="384">
        <f>'Audio Desc.'!X14</f>
        <v>0</v>
      </c>
      <c r="J257" s="382">
        <f>'Audio Desc.'!$AE$14</f>
        <v>0</v>
      </c>
      <c r="K257" s="382">
        <f>'Audio Desc.'!$AF$14</f>
        <v>0.5</v>
      </c>
      <c r="L257" s="382" t="str">
        <f>'Audio Desc.'!$AH$14</f>
        <v>Automated system</v>
      </c>
      <c r="M257" s="407">
        <f>'Audio Desc.'!$AI$14</f>
        <v>0</v>
      </c>
      <c r="N257" s="391" t="str">
        <f>'Audio Desc.'!$AJ$14</f>
        <v>Note 4</v>
      </c>
    </row>
    <row r="258" spans="1:14" x14ac:dyDescent="0.35">
      <c r="A258" s="368" t="str">
        <f>'Summary (READ FIRST)'!$B$8</f>
        <v>Supplier 1</v>
      </c>
      <c r="B258" s="367" t="str">
        <f>'Summary (READ FIRST)'!$B$11</f>
        <v>English</v>
      </c>
      <c r="C258" s="367" t="s">
        <v>44</v>
      </c>
      <c r="D258" s="367" t="s">
        <v>25</v>
      </c>
      <c r="E258" s="367" t="s">
        <v>20</v>
      </c>
      <c r="F258" s="367" t="s">
        <v>43</v>
      </c>
      <c r="G258" s="382">
        <f>'Audio Desc.'!U14</f>
        <v>60</v>
      </c>
      <c r="H258" s="382">
        <f>'Audio Desc.'!W14</f>
        <v>0</v>
      </c>
      <c r="I258" s="384">
        <f>'Audio Desc.'!Y14</f>
        <v>0</v>
      </c>
      <c r="J258" s="382">
        <f>'Audio Desc.'!$AE$14</f>
        <v>0</v>
      </c>
      <c r="K258" s="382">
        <f>'Audio Desc.'!$AF$14</f>
        <v>0.5</v>
      </c>
      <c r="L258" s="382" t="str">
        <f>'Audio Desc.'!$AH$14</f>
        <v>Automated system</v>
      </c>
      <c r="M258" s="407">
        <f>'Audio Desc.'!$AI$14</f>
        <v>0</v>
      </c>
      <c r="N258" s="391" t="str">
        <f>'Audio Desc.'!$AJ$14</f>
        <v>Note 4</v>
      </c>
    </row>
    <row r="259" spans="1:14" x14ac:dyDescent="0.35">
      <c r="A259" s="368" t="str">
        <f>'Summary (READ FIRST)'!$B$8</f>
        <v>Supplier 1</v>
      </c>
      <c r="B259" s="367" t="str">
        <f>'Summary (READ FIRST)'!$B$11</f>
        <v>English</v>
      </c>
      <c r="C259" s="367" t="s">
        <v>44</v>
      </c>
      <c r="D259" s="367" t="s">
        <v>25</v>
      </c>
      <c r="E259" s="367" t="s">
        <v>20</v>
      </c>
      <c r="F259" s="367" t="s">
        <v>23</v>
      </c>
      <c r="G259" s="382">
        <f>'Audio Desc.'!AA14</f>
        <v>91</v>
      </c>
      <c r="H259" s="382">
        <f>'Audio Desc.'!AB14</f>
        <v>31</v>
      </c>
      <c r="I259" s="384">
        <f>'Audio Desc.'!AC14</f>
        <v>0</v>
      </c>
      <c r="J259" s="382">
        <f>'Audio Desc.'!$AE$14</f>
        <v>0</v>
      </c>
      <c r="K259" s="382">
        <f>'Audio Desc.'!$AF$14</f>
        <v>0.5</v>
      </c>
      <c r="L259" s="382" t="str">
        <f>'Audio Desc.'!$AH$14</f>
        <v>Automated system</v>
      </c>
      <c r="M259" s="407">
        <f>'Audio Desc.'!$AI$14</f>
        <v>0</v>
      </c>
      <c r="N259" s="391" t="str">
        <f>'Audio Desc.'!$AJ$14</f>
        <v>Note 4</v>
      </c>
    </row>
    <row r="260" spans="1:14" x14ac:dyDescent="0.35">
      <c r="A260" s="371" t="str">
        <f>'Summary (READ FIRST)'!$B$8</f>
        <v>Supplier 1</v>
      </c>
      <c r="B260" s="366" t="str">
        <f>'Summary (READ FIRST)'!$B$11</f>
        <v>English</v>
      </c>
      <c r="C260" s="366" t="s">
        <v>44</v>
      </c>
      <c r="D260" s="366" t="s">
        <v>26</v>
      </c>
      <c r="E260" s="366" t="s">
        <v>16</v>
      </c>
      <c r="F260" s="366" t="s">
        <v>36</v>
      </c>
      <c r="G260" s="382">
        <f>'Audio Desc.'!E15</f>
        <v>87</v>
      </c>
      <c r="H260" s="382">
        <f>'Audio Desc.'!G15</f>
        <v>59</v>
      </c>
      <c r="I260" s="382"/>
      <c r="J260" s="382">
        <f>'Audio Desc.'!$AE$15</f>
        <v>1</v>
      </c>
      <c r="K260" s="382">
        <f>'Audio Desc.'!$AF$15</f>
        <v>0.5</v>
      </c>
      <c r="L260" s="382" t="str">
        <f>'Audio Desc.'!$AH$15</f>
        <v>Tools</v>
      </c>
      <c r="M260" s="407">
        <f>'Audio Desc.'!$AI$15</f>
        <v>0.05</v>
      </c>
      <c r="N260" s="391" t="str">
        <f>'Audio Desc.'!$AJ$15</f>
        <v>Note 4</v>
      </c>
    </row>
    <row r="261" spans="1:14" x14ac:dyDescent="0.35">
      <c r="A261" s="368" t="str">
        <f>'Summary (READ FIRST)'!$B$8</f>
        <v>Supplier 1</v>
      </c>
      <c r="B261" s="367" t="str">
        <f>'Summary (READ FIRST)'!$B$11</f>
        <v>English</v>
      </c>
      <c r="C261" s="367" t="s">
        <v>44</v>
      </c>
      <c r="D261" s="367" t="s">
        <v>26</v>
      </c>
      <c r="E261" s="367" t="s">
        <v>16</v>
      </c>
      <c r="F261" s="367" t="s">
        <v>37</v>
      </c>
      <c r="G261" s="382">
        <f>'Audio Desc.'!F15</f>
        <v>48</v>
      </c>
      <c r="H261" s="382">
        <f>'Audio Desc.'!H15</f>
        <v>56</v>
      </c>
      <c r="I261" s="382"/>
      <c r="J261" s="382">
        <f>'Audio Desc.'!$AE$15</f>
        <v>1</v>
      </c>
      <c r="K261" s="382">
        <f>'Audio Desc.'!$AF$15</f>
        <v>0.5</v>
      </c>
      <c r="L261" s="382" t="str">
        <f>'Audio Desc.'!$AH$15</f>
        <v>Tools</v>
      </c>
      <c r="M261" s="407">
        <f>'Audio Desc.'!$AI$15</f>
        <v>0.05</v>
      </c>
      <c r="N261" s="391" t="str">
        <f>'Audio Desc.'!$AJ$15</f>
        <v>Note 4</v>
      </c>
    </row>
    <row r="262" spans="1:14" x14ac:dyDescent="0.35">
      <c r="A262" s="368" t="str">
        <f>'Summary (READ FIRST)'!$B$8</f>
        <v>Supplier 1</v>
      </c>
      <c r="B262" s="367" t="str">
        <f>'Summary (READ FIRST)'!$B$11</f>
        <v>English</v>
      </c>
      <c r="C262" s="367" t="s">
        <v>44</v>
      </c>
      <c r="D262" s="367" t="s">
        <v>26</v>
      </c>
      <c r="E262" s="367" t="s">
        <v>16</v>
      </c>
      <c r="F262" s="367" t="s">
        <v>38</v>
      </c>
      <c r="G262" s="382">
        <f>'Audio Desc.'!J15</f>
        <v>82</v>
      </c>
      <c r="H262" s="382">
        <f>'Audio Desc.'!L15</f>
        <v>0</v>
      </c>
      <c r="I262" s="382"/>
      <c r="J262" s="382">
        <f>'Audio Desc.'!$AE$15</f>
        <v>1</v>
      </c>
      <c r="K262" s="382">
        <f>'Audio Desc.'!$AF$15</f>
        <v>0.5</v>
      </c>
      <c r="L262" s="382" t="str">
        <f>'Audio Desc.'!$AH$15</f>
        <v>Tools</v>
      </c>
      <c r="M262" s="407">
        <f>'Audio Desc.'!$AI$15</f>
        <v>0.05</v>
      </c>
      <c r="N262" s="391" t="str">
        <f>'Audio Desc.'!$AJ$15</f>
        <v>Note 4</v>
      </c>
    </row>
    <row r="263" spans="1:14" x14ac:dyDescent="0.35">
      <c r="A263" s="368" t="str">
        <f>'Summary (READ FIRST)'!$B$8</f>
        <v>Supplier 1</v>
      </c>
      <c r="B263" s="367" t="str">
        <f>'Summary (READ FIRST)'!$B$11</f>
        <v>English</v>
      </c>
      <c r="C263" s="367" t="s">
        <v>44</v>
      </c>
      <c r="D263" s="367" t="s">
        <v>26</v>
      </c>
      <c r="E263" s="367" t="s">
        <v>16</v>
      </c>
      <c r="F263" s="367" t="s">
        <v>39</v>
      </c>
      <c r="G263" s="382">
        <f>'Audio Desc.'!K15</f>
        <v>43</v>
      </c>
      <c r="H263" s="382">
        <f>'Audio Desc.'!M15</f>
        <v>68</v>
      </c>
      <c r="I263" s="382"/>
      <c r="J263" s="382">
        <f>'Audio Desc.'!$AE$15</f>
        <v>1</v>
      </c>
      <c r="K263" s="382">
        <f>'Audio Desc.'!$AF$15</f>
        <v>0.5</v>
      </c>
      <c r="L263" s="382" t="str">
        <f>'Audio Desc.'!$AH$15</f>
        <v>Tools</v>
      </c>
      <c r="M263" s="407">
        <f>'Audio Desc.'!$AI$15</f>
        <v>0.05</v>
      </c>
      <c r="N263" s="391" t="str">
        <f>'Audio Desc.'!$AJ$15</f>
        <v>Note 4</v>
      </c>
    </row>
    <row r="264" spans="1:14" x14ac:dyDescent="0.35">
      <c r="A264" s="368" t="str">
        <f>'Summary (READ FIRST)'!$B$8</f>
        <v>Supplier 1</v>
      </c>
      <c r="B264" s="367" t="str">
        <f>'Summary (READ FIRST)'!$B$11</f>
        <v>English</v>
      </c>
      <c r="C264" s="367" t="s">
        <v>44</v>
      </c>
      <c r="D264" s="367" t="s">
        <v>26</v>
      </c>
      <c r="E264" s="367" t="s">
        <v>16</v>
      </c>
      <c r="F264" s="367" t="s">
        <v>40</v>
      </c>
      <c r="G264" s="382">
        <f>'Audio Desc.'!O15</f>
        <v>43</v>
      </c>
      <c r="H264" s="382">
        <f>'Audio Desc.'!Q15</f>
        <v>69</v>
      </c>
      <c r="I264" s="382"/>
      <c r="J264" s="382">
        <f>'Audio Desc.'!$AE$15</f>
        <v>1</v>
      </c>
      <c r="K264" s="382">
        <f>'Audio Desc.'!$AF$15</f>
        <v>0.5</v>
      </c>
      <c r="L264" s="382" t="str">
        <f>'Audio Desc.'!$AH$15</f>
        <v>Tools</v>
      </c>
      <c r="M264" s="407">
        <f>'Audio Desc.'!$AI$15</f>
        <v>0.05</v>
      </c>
      <c r="N264" s="391" t="str">
        <f>'Audio Desc.'!$AJ$15</f>
        <v>Note 4</v>
      </c>
    </row>
    <row r="265" spans="1:14" x14ac:dyDescent="0.35">
      <c r="A265" s="368" t="str">
        <f>'Summary (READ FIRST)'!$B$8</f>
        <v>Supplier 1</v>
      </c>
      <c r="B265" s="367" t="str">
        <f>'Summary (READ FIRST)'!$B$11</f>
        <v>English</v>
      </c>
      <c r="C265" s="367" t="s">
        <v>44</v>
      </c>
      <c r="D265" s="367" t="s">
        <v>26</v>
      </c>
      <c r="E265" s="367" t="s">
        <v>16</v>
      </c>
      <c r="F265" s="367" t="s">
        <v>41</v>
      </c>
      <c r="G265" s="382">
        <f>'Audio Desc.'!P15</f>
        <v>30</v>
      </c>
      <c r="H265" s="382">
        <f>'Audio Desc.'!R15</f>
        <v>0</v>
      </c>
      <c r="I265" s="382"/>
      <c r="J265" s="382">
        <f>'Audio Desc.'!$AE$15</f>
        <v>1</v>
      </c>
      <c r="K265" s="382">
        <f>'Audio Desc.'!$AF$15</f>
        <v>0.5</v>
      </c>
      <c r="L265" s="382" t="str">
        <f>'Audio Desc.'!$AH$15</f>
        <v>Tools</v>
      </c>
      <c r="M265" s="407">
        <f>'Audio Desc.'!$AI$15</f>
        <v>0.05</v>
      </c>
      <c r="N265" s="391" t="str">
        <f>'Audio Desc.'!$AJ$15</f>
        <v>Note 4</v>
      </c>
    </row>
    <row r="266" spans="1:14" x14ac:dyDescent="0.35">
      <c r="A266" s="368" t="str">
        <f>'Summary (READ FIRST)'!$B$8</f>
        <v>Supplier 1</v>
      </c>
      <c r="B266" s="367" t="str">
        <f>'Summary (READ FIRST)'!$B$11</f>
        <v>English</v>
      </c>
      <c r="C266" s="367" t="s">
        <v>44</v>
      </c>
      <c r="D266" s="367" t="s">
        <v>26</v>
      </c>
      <c r="E266" s="367" t="s">
        <v>20</v>
      </c>
      <c r="F266" s="367" t="s">
        <v>42</v>
      </c>
      <c r="G266" s="382">
        <f>'Audio Desc.'!T15</f>
        <v>46</v>
      </c>
      <c r="H266" s="382">
        <f>'Audio Desc.'!V15</f>
        <v>0</v>
      </c>
      <c r="I266" s="384">
        <f>'Audio Desc.'!X15</f>
        <v>98</v>
      </c>
      <c r="J266" s="382">
        <f>'Audio Desc.'!$AE$15</f>
        <v>1</v>
      </c>
      <c r="K266" s="382">
        <f>'Audio Desc.'!$AF$15</f>
        <v>0.5</v>
      </c>
      <c r="L266" s="382" t="str">
        <f>'Audio Desc.'!$AH$15</f>
        <v>Tools</v>
      </c>
      <c r="M266" s="407">
        <f>'Audio Desc.'!$AI$15</f>
        <v>0.05</v>
      </c>
      <c r="N266" s="391" t="str">
        <f>'Audio Desc.'!$AJ$15</f>
        <v>Note 4</v>
      </c>
    </row>
    <row r="267" spans="1:14" x14ac:dyDescent="0.35">
      <c r="A267" s="368" t="str">
        <f>'Summary (READ FIRST)'!$B$8</f>
        <v>Supplier 1</v>
      </c>
      <c r="B267" s="367" t="str">
        <f>'Summary (READ FIRST)'!$B$11</f>
        <v>English</v>
      </c>
      <c r="C267" s="367" t="s">
        <v>44</v>
      </c>
      <c r="D267" s="367" t="s">
        <v>26</v>
      </c>
      <c r="E267" s="367" t="s">
        <v>20</v>
      </c>
      <c r="F267" s="367" t="s">
        <v>43</v>
      </c>
      <c r="G267" s="382">
        <f>'Audio Desc.'!U15</f>
        <v>0</v>
      </c>
      <c r="H267" s="382">
        <f>'Audio Desc.'!W15</f>
        <v>79</v>
      </c>
      <c r="I267" s="384">
        <f>'Audio Desc.'!Y15</f>
        <v>62</v>
      </c>
      <c r="J267" s="382">
        <f>'Audio Desc.'!$AE$15</f>
        <v>1</v>
      </c>
      <c r="K267" s="382">
        <f>'Audio Desc.'!$AF$15</f>
        <v>0.5</v>
      </c>
      <c r="L267" s="382" t="str">
        <f>'Audio Desc.'!$AH$15</f>
        <v>Tools</v>
      </c>
      <c r="M267" s="407">
        <f>'Audio Desc.'!$AI$15</f>
        <v>0.05</v>
      </c>
      <c r="N267" s="391" t="str">
        <f>'Audio Desc.'!$AJ$15</f>
        <v>Note 4</v>
      </c>
    </row>
    <row r="268" spans="1:14" x14ac:dyDescent="0.35">
      <c r="A268" s="368" t="str">
        <f>'Summary (READ FIRST)'!$B$8</f>
        <v>Supplier 1</v>
      </c>
      <c r="B268" s="367" t="str">
        <f>'Summary (READ FIRST)'!$B$11</f>
        <v>English</v>
      </c>
      <c r="C268" s="367" t="s">
        <v>44</v>
      </c>
      <c r="D268" s="367" t="s">
        <v>26</v>
      </c>
      <c r="E268" s="367" t="s">
        <v>20</v>
      </c>
      <c r="F268" s="367" t="s">
        <v>23</v>
      </c>
      <c r="G268" s="382">
        <f>'Audio Desc.'!AA15</f>
        <v>0</v>
      </c>
      <c r="H268" s="382">
        <f>'Audio Desc.'!AB15</f>
        <v>37</v>
      </c>
      <c r="I268" s="384">
        <f>'Audio Desc.'!AC15</f>
        <v>92</v>
      </c>
      <c r="J268" s="382">
        <f>'Audio Desc.'!$AE$15</f>
        <v>1</v>
      </c>
      <c r="K268" s="382">
        <f>'Audio Desc.'!$AF$15</f>
        <v>0.5</v>
      </c>
      <c r="L268" s="382" t="str">
        <f>'Audio Desc.'!$AH$15</f>
        <v>Tools</v>
      </c>
      <c r="M268" s="407">
        <f>'Audio Desc.'!$AI$15</f>
        <v>0.05</v>
      </c>
      <c r="N268" s="391" t="str">
        <f>'Audio Desc.'!$AJ$15</f>
        <v>Note 4</v>
      </c>
    </row>
    <row r="269" spans="1:14" x14ac:dyDescent="0.35">
      <c r="A269" s="371" t="str">
        <f>'Summary (READ FIRST)'!$B$8</f>
        <v>Supplier 1</v>
      </c>
      <c r="B269" s="366" t="str">
        <f>'Summary (READ FIRST)'!$B$11</f>
        <v>English</v>
      </c>
      <c r="C269" s="366" t="s">
        <v>44</v>
      </c>
      <c r="D269" s="366" t="s">
        <v>27</v>
      </c>
      <c r="E269" s="366" t="s">
        <v>16</v>
      </c>
      <c r="F269" s="366" t="s">
        <v>36</v>
      </c>
      <c r="G269" s="382">
        <f>'Audio Desc.'!E16</f>
        <v>80</v>
      </c>
      <c r="H269" s="382">
        <f>'Audio Desc.'!G16</f>
        <v>56</v>
      </c>
      <c r="I269" s="382"/>
      <c r="J269" s="382">
        <f>'Audio Desc.'!$AE$16</f>
        <v>1</v>
      </c>
      <c r="K269" s="382">
        <f>'Audio Desc.'!$AF$16</f>
        <v>0</v>
      </c>
      <c r="L269" s="382">
        <f>'Audio Desc.'!$AH$16</f>
        <v>0</v>
      </c>
      <c r="M269" s="407">
        <f>'Audio Desc.'!$AI$16</f>
        <v>0.1</v>
      </c>
      <c r="N269" s="391" t="str">
        <f>'Audio Desc.'!$AJ$16</f>
        <v>Note 4</v>
      </c>
    </row>
    <row r="270" spans="1:14" x14ac:dyDescent="0.35">
      <c r="A270" s="368" t="str">
        <f>'Summary (READ FIRST)'!$B$8</f>
        <v>Supplier 1</v>
      </c>
      <c r="B270" s="367" t="str">
        <f>'Summary (READ FIRST)'!$B$11</f>
        <v>English</v>
      </c>
      <c r="C270" s="367" t="s">
        <v>44</v>
      </c>
      <c r="D270" s="367" t="s">
        <v>27</v>
      </c>
      <c r="E270" s="367" t="s">
        <v>16</v>
      </c>
      <c r="F270" s="367" t="s">
        <v>37</v>
      </c>
      <c r="G270" s="382">
        <f>'Audio Desc.'!F16</f>
        <v>77</v>
      </c>
      <c r="H270" s="382">
        <f>'Audio Desc.'!H16</f>
        <v>48</v>
      </c>
      <c r="I270" s="382"/>
      <c r="J270" s="382">
        <f>'Audio Desc.'!$AE$16</f>
        <v>1</v>
      </c>
      <c r="K270" s="382">
        <f>'Audio Desc.'!$AF$16</f>
        <v>0</v>
      </c>
      <c r="L270" s="382">
        <f>'Audio Desc.'!$AH$16</f>
        <v>0</v>
      </c>
      <c r="M270" s="407">
        <f>'Audio Desc.'!$AI$16</f>
        <v>0.1</v>
      </c>
      <c r="N270" s="391" t="str">
        <f>'Audio Desc.'!$AJ$16</f>
        <v>Note 4</v>
      </c>
    </row>
    <row r="271" spans="1:14" x14ac:dyDescent="0.35">
      <c r="A271" s="368" t="str">
        <f>'Summary (READ FIRST)'!$B$8</f>
        <v>Supplier 1</v>
      </c>
      <c r="B271" s="367" t="str">
        <f>'Summary (READ FIRST)'!$B$11</f>
        <v>English</v>
      </c>
      <c r="C271" s="367" t="s">
        <v>44</v>
      </c>
      <c r="D271" s="367" t="s">
        <v>27</v>
      </c>
      <c r="E271" s="367" t="s">
        <v>16</v>
      </c>
      <c r="F271" s="367" t="s">
        <v>38</v>
      </c>
      <c r="G271" s="382">
        <f>'Audio Desc.'!J16</f>
        <v>0</v>
      </c>
      <c r="H271" s="382">
        <f>'Audio Desc.'!L16</f>
        <v>15</v>
      </c>
      <c r="I271" s="382"/>
      <c r="J271" s="382">
        <f>'Audio Desc.'!$AE$16</f>
        <v>1</v>
      </c>
      <c r="K271" s="382">
        <f>'Audio Desc.'!$AF$16</f>
        <v>0</v>
      </c>
      <c r="L271" s="382">
        <f>'Audio Desc.'!$AH$16</f>
        <v>0</v>
      </c>
      <c r="M271" s="407">
        <f>'Audio Desc.'!$AI$16</f>
        <v>0.1</v>
      </c>
      <c r="N271" s="391" t="str">
        <f>'Audio Desc.'!$AJ$16</f>
        <v>Note 4</v>
      </c>
    </row>
    <row r="272" spans="1:14" x14ac:dyDescent="0.35">
      <c r="A272" s="368" t="str">
        <f>'Summary (READ FIRST)'!$B$8</f>
        <v>Supplier 1</v>
      </c>
      <c r="B272" s="367" t="str">
        <f>'Summary (READ FIRST)'!$B$11</f>
        <v>English</v>
      </c>
      <c r="C272" s="367" t="s">
        <v>44</v>
      </c>
      <c r="D272" s="367" t="s">
        <v>27</v>
      </c>
      <c r="E272" s="367" t="s">
        <v>16</v>
      </c>
      <c r="F272" s="367" t="s">
        <v>39</v>
      </c>
      <c r="G272" s="382">
        <f>'Audio Desc.'!K15</f>
        <v>43</v>
      </c>
      <c r="H272" s="382">
        <f>'Audio Desc.'!M16</f>
        <v>83</v>
      </c>
      <c r="I272" s="382"/>
      <c r="J272" s="382">
        <f>'Audio Desc.'!$AE$16</f>
        <v>1</v>
      </c>
      <c r="K272" s="382">
        <f>'Audio Desc.'!$AF$16</f>
        <v>0</v>
      </c>
      <c r="L272" s="382">
        <f>'Audio Desc.'!$AH$16</f>
        <v>0</v>
      </c>
      <c r="M272" s="407">
        <f>'Audio Desc.'!$AI$16</f>
        <v>0.1</v>
      </c>
      <c r="N272" s="391" t="str">
        <f>'Audio Desc.'!$AJ$16</f>
        <v>Note 4</v>
      </c>
    </row>
    <row r="273" spans="1:14" x14ac:dyDescent="0.35">
      <c r="A273" s="368" t="str">
        <f>'Summary (READ FIRST)'!$B$8</f>
        <v>Supplier 1</v>
      </c>
      <c r="B273" s="367" t="str">
        <f>'Summary (READ FIRST)'!$B$11</f>
        <v>English</v>
      </c>
      <c r="C273" s="367" t="s">
        <v>44</v>
      </c>
      <c r="D273" s="367" t="s">
        <v>27</v>
      </c>
      <c r="E273" s="367" t="s">
        <v>16</v>
      </c>
      <c r="F273" s="367" t="s">
        <v>40</v>
      </c>
      <c r="G273" s="382">
        <f>'Audio Desc.'!O16</f>
        <v>31</v>
      </c>
      <c r="H273" s="382">
        <f>'Audio Desc.'!Q16</f>
        <v>98</v>
      </c>
      <c r="I273" s="382"/>
      <c r="J273" s="382">
        <f>'Audio Desc.'!$AE$16</f>
        <v>1</v>
      </c>
      <c r="K273" s="382">
        <f>'Audio Desc.'!$AF$16</f>
        <v>0</v>
      </c>
      <c r="L273" s="382">
        <f>'Audio Desc.'!$AH$16</f>
        <v>0</v>
      </c>
      <c r="M273" s="407">
        <f>'Audio Desc.'!$AI$16</f>
        <v>0.1</v>
      </c>
      <c r="N273" s="391" t="str">
        <f>'Audio Desc.'!$AJ$16</f>
        <v>Note 4</v>
      </c>
    </row>
    <row r="274" spans="1:14" x14ac:dyDescent="0.35">
      <c r="A274" s="368" t="str">
        <f>'Summary (READ FIRST)'!$B$8</f>
        <v>Supplier 1</v>
      </c>
      <c r="B274" s="367" t="str">
        <f>'Summary (READ FIRST)'!$B$11</f>
        <v>English</v>
      </c>
      <c r="C274" s="367" t="s">
        <v>44</v>
      </c>
      <c r="D274" s="367" t="s">
        <v>27</v>
      </c>
      <c r="E274" s="367" t="s">
        <v>16</v>
      </c>
      <c r="F274" s="367" t="s">
        <v>41</v>
      </c>
      <c r="G274" s="382">
        <f>'Audio Desc.'!P16</f>
        <v>57</v>
      </c>
      <c r="H274" s="382">
        <f>'Audio Desc.'!R16</f>
        <v>81</v>
      </c>
      <c r="I274" s="382"/>
      <c r="J274" s="382">
        <f>'Audio Desc.'!$AE$16</f>
        <v>1</v>
      </c>
      <c r="K274" s="382">
        <f>'Audio Desc.'!$AF$16</f>
        <v>0</v>
      </c>
      <c r="L274" s="382">
        <f>'Audio Desc.'!$AH$16</f>
        <v>0</v>
      </c>
      <c r="M274" s="407">
        <f>'Audio Desc.'!$AI$16</f>
        <v>0.1</v>
      </c>
      <c r="N274" s="391" t="str">
        <f>'Audio Desc.'!$AJ$16</f>
        <v>Note 4</v>
      </c>
    </row>
    <row r="275" spans="1:14" x14ac:dyDescent="0.35">
      <c r="A275" s="368" t="str">
        <f>'Summary (READ FIRST)'!$B$8</f>
        <v>Supplier 1</v>
      </c>
      <c r="B275" s="367" t="str">
        <f>'Summary (READ FIRST)'!$B$11</f>
        <v>English</v>
      </c>
      <c r="C275" s="367" t="s">
        <v>44</v>
      </c>
      <c r="D275" s="367" t="s">
        <v>27</v>
      </c>
      <c r="E275" s="367" t="s">
        <v>20</v>
      </c>
      <c r="F275" s="367" t="s">
        <v>42</v>
      </c>
      <c r="G275" s="382">
        <f>'Audio Desc.'!T16</f>
        <v>53</v>
      </c>
      <c r="H275" s="382">
        <f>'Audio Desc.'!V16</f>
        <v>37</v>
      </c>
      <c r="I275" s="384">
        <f>'Audio Desc.'!X16</f>
        <v>70</v>
      </c>
      <c r="J275" s="382">
        <f>'Audio Desc.'!$AE$16</f>
        <v>1</v>
      </c>
      <c r="K275" s="382">
        <f>'Audio Desc.'!$AF$16</f>
        <v>0</v>
      </c>
      <c r="L275" s="382">
        <f>'Audio Desc.'!$AH$16</f>
        <v>0</v>
      </c>
      <c r="M275" s="407">
        <f>'Audio Desc.'!$AI$16</f>
        <v>0.1</v>
      </c>
      <c r="N275" s="391" t="str">
        <f>'Audio Desc.'!$AJ$16</f>
        <v>Note 4</v>
      </c>
    </row>
    <row r="276" spans="1:14" x14ac:dyDescent="0.35">
      <c r="A276" s="368" t="str">
        <f>'Summary (READ FIRST)'!$B$8</f>
        <v>Supplier 1</v>
      </c>
      <c r="B276" s="367" t="str">
        <f>'Summary (READ FIRST)'!$B$11</f>
        <v>English</v>
      </c>
      <c r="C276" s="367" t="s">
        <v>44</v>
      </c>
      <c r="D276" s="367" t="s">
        <v>27</v>
      </c>
      <c r="E276" s="367" t="s">
        <v>20</v>
      </c>
      <c r="F276" s="367" t="s">
        <v>43</v>
      </c>
      <c r="G276" s="382">
        <f>'Audio Desc.'!U16</f>
        <v>85</v>
      </c>
      <c r="H276" s="382">
        <f>'Audio Desc.'!W16</f>
        <v>0</v>
      </c>
      <c r="I276" s="384">
        <f>'Audio Desc.'!Y16</f>
        <v>0</v>
      </c>
      <c r="J276" s="382">
        <f>'Audio Desc.'!$AE$16</f>
        <v>1</v>
      </c>
      <c r="K276" s="382">
        <f>'Audio Desc.'!$AF$16</f>
        <v>0</v>
      </c>
      <c r="L276" s="382">
        <f>'Audio Desc.'!$AH$16</f>
        <v>0</v>
      </c>
      <c r="M276" s="407">
        <f>'Audio Desc.'!$AI$16</f>
        <v>0.1</v>
      </c>
      <c r="N276" s="391" t="str">
        <f>'Audio Desc.'!$AJ$16</f>
        <v>Note 4</v>
      </c>
    </row>
    <row r="277" spans="1:14" x14ac:dyDescent="0.35">
      <c r="A277" s="368" t="str">
        <f>'Summary (READ FIRST)'!$B$8</f>
        <v>Supplier 1</v>
      </c>
      <c r="B277" s="367" t="str">
        <f>'Summary (READ FIRST)'!$B$11</f>
        <v>English</v>
      </c>
      <c r="C277" s="367" t="s">
        <v>44</v>
      </c>
      <c r="D277" s="367" t="s">
        <v>27</v>
      </c>
      <c r="E277" s="367" t="s">
        <v>20</v>
      </c>
      <c r="F277" s="367" t="s">
        <v>23</v>
      </c>
      <c r="G277" s="382">
        <f>'Audio Desc.'!AA16</f>
        <v>88</v>
      </c>
      <c r="H277" s="382">
        <f>'Audio Desc.'!AB16</f>
        <v>47</v>
      </c>
      <c r="I277" s="384">
        <f>'Audio Desc.'!AC16</f>
        <v>53</v>
      </c>
      <c r="J277" s="382">
        <f>'Audio Desc.'!$AE$16</f>
        <v>1</v>
      </c>
      <c r="K277" s="382">
        <f>'Audio Desc.'!$AF$16</f>
        <v>0</v>
      </c>
      <c r="L277" s="382">
        <f>'Audio Desc.'!$AH$16</f>
        <v>0</v>
      </c>
      <c r="M277" s="407">
        <f>'Audio Desc.'!$AI$16</f>
        <v>0.1</v>
      </c>
      <c r="N277" s="391" t="str">
        <f>'Audio Desc.'!$AJ$16</f>
        <v>Note 4</v>
      </c>
    </row>
    <row r="278" spans="1:14" x14ac:dyDescent="0.35">
      <c r="A278" s="371" t="str">
        <f>'Summary (READ FIRST)'!$B$8</f>
        <v>Supplier 1</v>
      </c>
      <c r="B278" s="366" t="str">
        <f>'Summary (READ FIRST)'!$B$11</f>
        <v>English</v>
      </c>
      <c r="C278" s="366" t="s">
        <v>44</v>
      </c>
      <c r="D278" s="366" t="s">
        <v>28</v>
      </c>
      <c r="E278" s="366" t="s">
        <v>16</v>
      </c>
      <c r="F278" s="366" t="s">
        <v>36</v>
      </c>
      <c r="G278" s="382">
        <f>'Audio Desc.'!E17</f>
        <v>36</v>
      </c>
      <c r="H278" s="382">
        <f>'Audio Desc.'!G17</f>
        <v>0</v>
      </c>
      <c r="I278" s="382"/>
      <c r="J278" s="382">
        <f>'Audio Desc.'!$AE$17</f>
        <v>0</v>
      </c>
      <c r="K278" s="382">
        <f>'Audio Desc.'!$AF$17</f>
        <v>0.5</v>
      </c>
      <c r="L278" s="382" t="str">
        <f>'Audio Desc.'!$AH$17</f>
        <v>Workflow</v>
      </c>
      <c r="M278" s="407">
        <f>'Audio Desc.'!$AI$17</f>
        <v>0</v>
      </c>
      <c r="N278" s="391">
        <f>'Audio Desc.'!$AJ$17</f>
        <v>0</v>
      </c>
    </row>
    <row r="279" spans="1:14" x14ac:dyDescent="0.35">
      <c r="A279" s="368" t="str">
        <f>'Summary (READ FIRST)'!$B$8</f>
        <v>Supplier 1</v>
      </c>
      <c r="B279" s="367" t="str">
        <f>'Summary (READ FIRST)'!$B$11</f>
        <v>English</v>
      </c>
      <c r="C279" s="367" t="s">
        <v>44</v>
      </c>
      <c r="D279" s="367" t="s">
        <v>28</v>
      </c>
      <c r="E279" s="367" t="s">
        <v>16</v>
      </c>
      <c r="F279" s="367" t="s">
        <v>37</v>
      </c>
      <c r="G279" s="382">
        <f>'Audio Desc.'!F17</f>
        <v>92</v>
      </c>
      <c r="H279" s="382">
        <f>'Audio Desc.'!H17</f>
        <v>26</v>
      </c>
      <c r="I279" s="382"/>
      <c r="J279" s="382">
        <f>'Audio Desc.'!$AE$17</f>
        <v>0</v>
      </c>
      <c r="K279" s="382">
        <f>'Audio Desc.'!$AF$17</f>
        <v>0.5</v>
      </c>
      <c r="L279" s="382" t="str">
        <f>'Audio Desc.'!$AH$17</f>
        <v>Workflow</v>
      </c>
      <c r="M279" s="407">
        <f>'Audio Desc.'!$AI$17</f>
        <v>0</v>
      </c>
      <c r="N279" s="391">
        <f>'Audio Desc.'!$AJ$17</f>
        <v>0</v>
      </c>
    </row>
    <row r="280" spans="1:14" x14ac:dyDescent="0.35">
      <c r="A280" s="368" t="str">
        <f>'Summary (READ FIRST)'!$B$8</f>
        <v>Supplier 1</v>
      </c>
      <c r="B280" s="367" t="str">
        <f>'Summary (READ FIRST)'!$B$11</f>
        <v>English</v>
      </c>
      <c r="C280" s="367" t="s">
        <v>44</v>
      </c>
      <c r="D280" s="367" t="s">
        <v>28</v>
      </c>
      <c r="E280" s="367" t="s">
        <v>16</v>
      </c>
      <c r="F280" s="367" t="s">
        <v>38</v>
      </c>
      <c r="G280" s="382">
        <f>'Audio Desc.'!J17</f>
        <v>52</v>
      </c>
      <c r="H280" s="382">
        <f>'Audio Desc.'!L17</f>
        <v>32</v>
      </c>
      <c r="I280" s="382"/>
      <c r="J280" s="382">
        <f>'Audio Desc.'!$AE$17</f>
        <v>0</v>
      </c>
      <c r="K280" s="382">
        <f>'Audio Desc.'!$AF$17</f>
        <v>0.5</v>
      </c>
      <c r="L280" s="382" t="str">
        <f>'Audio Desc.'!$AH$17</f>
        <v>Workflow</v>
      </c>
      <c r="M280" s="407">
        <f>'Audio Desc.'!$AI$17</f>
        <v>0</v>
      </c>
      <c r="N280" s="391">
        <f>'Audio Desc.'!$AJ$17</f>
        <v>0</v>
      </c>
    </row>
    <row r="281" spans="1:14" x14ac:dyDescent="0.35">
      <c r="A281" s="368" t="str">
        <f>'Summary (READ FIRST)'!$B$8</f>
        <v>Supplier 1</v>
      </c>
      <c r="B281" s="367" t="str">
        <f>'Summary (READ FIRST)'!$B$11</f>
        <v>English</v>
      </c>
      <c r="C281" s="367" t="s">
        <v>44</v>
      </c>
      <c r="D281" s="367" t="s">
        <v>28</v>
      </c>
      <c r="E281" s="367" t="s">
        <v>16</v>
      </c>
      <c r="F281" s="367" t="s">
        <v>39</v>
      </c>
      <c r="G281" s="382">
        <f>'Audio Desc.'!K17</f>
        <v>45</v>
      </c>
      <c r="H281" s="382">
        <f>'Audio Desc.'!M17</f>
        <v>71</v>
      </c>
      <c r="I281" s="382"/>
      <c r="J281" s="382">
        <f>'Audio Desc.'!$AE$17</f>
        <v>0</v>
      </c>
      <c r="K281" s="382">
        <f>'Audio Desc.'!$AF$17</f>
        <v>0.5</v>
      </c>
      <c r="L281" s="382" t="str">
        <f>'Audio Desc.'!$AH$17</f>
        <v>Workflow</v>
      </c>
      <c r="M281" s="407">
        <f>'Audio Desc.'!$AI$17</f>
        <v>0</v>
      </c>
      <c r="N281" s="391">
        <f>'Audio Desc.'!$AJ$17</f>
        <v>0</v>
      </c>
    </row>
    <row r="282" spans="1:14" x14ac:dyDescent="0.35">
      <c r="A282" s="368" t="str">
        <f>'Summary (READ FIRST)'!$B$8</f>
        <v>Supplier 1</v>
      </c>
      <c r="B282" s="367" t="str">
        <f>'Summary (READ FIRST)'!$B$11</f>
        <v>English</v>
      </c>
      <c r="C282" s="367" t="s">
        <v>44</v>
      </c>
      <c r="D282" s="367" t="s">
        <v>28</v>
      </c>
      <c r="E282" s="367" t="s">
        <v>16</v>
      </c>
      <c r="F282" s="367" t="s">
        <v>40</v>
      </c>
      <c r="G282" s="382">
        <f>'Audio Desc.'!O17</f>
        <v>27</v>
      </c>
      <c r="H282" s="382">
        <f>'Audio Desc.'!Q17</f>
        <v>0</v>
      </c>
      <c r="I282" s="382"/>
      <c r="J282" s="382">
        <f>'Audio Desc.'!$AE$17</f>
        <v>0</v>
      </c>
      <c r="K282" s="382">
        <f>'Audio Desc.'!$AF$17</f>
        <v>0.5</v>
      </c>
      <c r="L282" s="382" t="str">
        <f>'Audio Desc.'!$AH$17</f>
        <v>Workflow</v>
      </c>
      <c r="M282" s="407">
        <f>'Audio Desc.'!$AI$17</f>
        <v>0</v>
      </c>
      <c r="N282" s="391">
        <f>'Audio Desc.'!$AJ$17</f>
        <v>0</v>
      </c>
    </row>
    <row r="283" spans="1:14" x14ac:dyDescent="0.35">
      <c r="A283" s="368" t="str">
        <f>'Summary (READ FIRST)'!$B$8</f>
        <v>Supplier 1</v>
      </c>
      <c r="B283" s="367" t="str">
        <f>'Summary (READ FIRST)'!$B$11</f>
        <v>English</v>
      </c>
      <c r="C283" s="367" t="s">
        <v>44</v>
      </c>
      <c r="D283" s="367" t="s">
        <v>28</v>
      </c>
      <c r="E283" s="367" t="s">
        <v>16</v>
      </c>
      <c r="F283" s="367" t="s">
        <v>41</v>
      </c>
      <c r="G283" s="382">
        <f>'Audio Desc.'!P17</f>
        <v>18</v>
      </c>
      <c r="H283" s="382">
        <f>'Audio Desc.'!R17</f>
        <v>84</v>
      </c>
      <c r="I283" s="382"/>
      <c r="J283" s="382">
        <f>'Audio Desc.'!$AE$17</f>
        <v>0</v>
      </c>
      <c r="K283" s="382">
        <f>'Audio Desc.'!$AF$17</f>
        <v>0.5</v>
      </c>
      <c r="L283" s="382" t="str">
        <f>'Audio Desc.'!$AH$17</f>
        <v>Workflow</v>
      </c>
      <c r="M283" s="407">
        <f>'Audio Desc.'!$AI$17</f>
        <v>0</v>
      </c>
      <c r="N283" s="391">
        <f>'Audio Desc.'!$AJ$17</f>
        <v>0</v>
      </c>
    </row>
    <row r="284" spans="1:14" x14ac:dyDescent="0.35">
      <c r="A284" s="368" t="str">
        <f>'Summary (READ FIRST)'!$B$8</f>
        <v>Supplier 1</v>
      </c>
      <c r="B284" s="367" t="str">
        <f>'Summary (READ FIRST)'!$B$11</f>
        <v>English</v>
      </c>
      <c r="C284" s="367" t="s">
        <v>44</v>
      </c>
      <c r="D284" s="367" t="s">
        <v>28</v>
      </c>
      <c r="E284" s="367" t="s">
        <v>20</v>
      </c>
      <c r="F284" s="367" t="s">
        <v>42</v>
      </c>
      <c r="G284" s="382">
        <f>'Audio Desc.'!T17</f>
        <v>0</v>
      </c>
      <c r="H284" s="382">
        <f>'Audio Desc.'!V17</f>
        <v>85</v>
      </c>
      <c r="I284" s="384">
        <f>'Audio Desc.'!X17</f>
        <v>92</v>
      </c>
      <c r="J284" s="382">
        <f>'Audio Desc.'!$AE$17</f>
        <v>0</v>
      </c>
      <c r="K284" s="382">
        <f>'Audio Desc.'!$AF$17</f>
        <v>0.5</v>
      </c>
      <c r="L284" s="382" t="str">
        <f>'Audio Desc.'!$AH$17</f>
        <v>Workflow</v>
      </c>
      <c r="M284" s="407">
        <f>'Audio Desc.'!$AI$17</f>
        <v>0</v>
      </c>
      <c r="N284" s="391">
        <f>'Audio Desc.'!$AJ$17</f>
        <v>0</v>
      </c>
    </row>
    <row r="285" spans="1:14" x14ac:dyDescent="0.35">
      <c r="A285" s="368" t="str">
        <f>'Summary (READ FIRST)'!$B$8</f>
        <v>Supplier 1</v>
      </c>
      <c r="B285" s="367" t="str">
        <f>'Summary (READ FIRST)'!$B$11</f>
        <v>English</v>
      </c>
      <c r="C285" s="367" t="s">
        <v>44</v>
      </c>
      <c r="D285" s="367" t="s">
        <v>28</v>
      </c>
      <c r="E285" s="367" t="s">
        <v>20</v>
      </c>
      <c r="F285" s="367" t="s">
        <v>43</v>
      </c>
      <c r="G285" s="382">
        <f>'Audio Desc.'!U17</f>
        <v>0</v>
      </c>
      <c r="H285" s="382">
        <f>'Audio Desc.'!W17</f>
        <v>50</v>
      </c>
      <c r="I285" s="384">
        <f>'Audio Desc.'!Y17</f>
        <v>53</v>
      </c>
      <c r="J285" s="382">
        <f>'Audio Desc.'!$AE$17</f>
        <v>0</v>
      </c>
      <c r="K285" s="382">
        <f>'Audio Desc.'!$AF$17</f>
        <v>0.5</v>
      </c>
      <c r="L285" s="382" t="str">
        <f>'Audio Desc.'!$AH$17</f>
        <v>Workflow</v>
      </c>
      <c r="M285" s="407">
        <f>'Audio Desc.'!$AI$17</f>
        <v>0</v>
      </c>
      <c r="N285" s="391">
        <f>'Audio Desc.'!$AJ$17</f>
        <v>0</v>
      </c>
    </row>
    <row r="286" spans="1:14" x14ac:dyDescent="0.35">
      <c r="A286" s="368" t="str">
        <f>'Summary (READ FIRST)'!$B$8</f>
        <v>Supplier 1</v>
      </c>
      <c r="B286" s="367" t="str">
        <f>'Summary (READ FIRST)'!$B$11</f>
        <v>English</v>
      </c>
      <c r="C286" s="367" t="s">
        <v>44</v>
      </c>
      <c r="D286" s="367" t="s">
        <v>28</v>
      </c>
      <c r="E286" s="367" t="s">
        <v>20</v>
      </c>
      <c r="F286" s="367" t="s">
        <v>23</v>
      </c>
      <c r="G286" s="382">
        <f>'Audio Desc.'!AA17</f>
        <v>76</v>
      </c>
      <c r="H286" s="382">
        <f>'Audio Desc.'!AB17</f>
        <v>0</v>
      </c>
      <c r="I286" s="384">
        <f>'Audio Desc.'!AC17</f>
        <v>0</v>
      </c>
      <c r="J286" s="382">
        <f>'Audio Desc.'!$AE$17</f>
        <v>0</v>
      </c>
      <c r="K286" s="382">
        <f>'Audio Desc.'!$AF$17</f>
        <v>0.5</v>
      </c>
      <c r="L286" s="382" t="str">
        <f>'Audio Desc.'!$AH$17</f>
        <v>Workflow</v>
      </c>
      <c r="M286" s="407">
        <f>'Audio Desc.'!$AI$17</f>
        <v>0</v>
      </c>
      <c r="N286" s="391">
        <f>'Audio Desc.'!$AJ$17</f>
        <v>0</v>
      </c>
    </row>
    <row r="287" spans="1:14" x14ac:dyDescent="0.35">
      <c r="A287" s="371" t="str">
        <f>'Summary (READ FIRST)'!$B$8</f>
        <v>Supplier 1</v>
      </c>
      <c r="B287" s="366" t="str">
        <f>'Summary (READ FIRST)'!$B$11</f>
        <v>English</v>
      </c>
      <c r="C287" s="366" t="s">
        <v>44</v>
      </c>
      <c r="D287" s="366" t="s">
        <v>29</v>
      </c>
      <c r="E287" s="366" t="s">
        <v>16</v>
      </c>
      <c r="F287" s="366" t="s">
        <v>36</v>
      </c>
      <c r="G287" s="382">
        <f>'Audio Desc.'!E18</f>
        <v>0</v>
      </c>
      <c r="H287" s="382">
        <f>'Audio Desc.'!G18</f>
        <v>26</v>
      </c>
      <c r="I287" s="382"/>
      <c r="J287" s="382">
        <f>'Audio Desc.'!$AE$18</f>
        <v>1</v>
      </c>
      <c r="K287" s="382">
        <f>'Audio Desc.'!$AF$18</f>
        <v>0.5</v>
      </c>
      <c r="L287" s="382" t="str">
        <f>'Audio Desc.'!$AH$18</f>
        <v>Workflow</v>
      </c>
      <c r="M287" s="407">
        <f>'Audio Desc.'!$AI$18</f>
        <v>0.15</v>
      </c>
      <c r="N287" s="391" t="str">
        <f>'Audio Desc.'!$AJ$18</f>
        <v>Note 4</v>
      </c>
    </row>
    <row r="288" spans="1:14" x14ac:dyDescent="0.35">
      <c r="A288" s="368" t="str">
        <f>'Summary (READ FIRST)'!$B$8</f>
        <v>Supplier 1</v>
      </c>
      <c r="B288" s="367" t="str">
        <f>'Summary (READ FIRST)'!$B$11</f>
        <v>English</v>
      </c>
      <c r="C288" s="367" t="s">
        <v>44</v>
      </c>
      <c r="D288" s="367" t="s">
        <v>29</v>
      </c>
      <c r="E288" s="367" t="s">
        <v>16</v>
      </c>
      <c r="F288" s="367" t="s">
        <v>37</v>
      </c>
      <c r="G288" s="382">
        <f>'Audio Desc.'!F18</f>
        <v>0</v>
      </c>
      <c r="H288" s="382">
        <f>'Audio Desc.'!H18</f>
        <v>49</v>
      </c>
      <c r="I288" s="382"/>
      <c r="J288" s="382">
        <f>'Audio Desc.'!$AE$18</f>
        <v>1</v>
      </c>
      <c r="K288" s="382">
        <f>'Audio Desc.'!$AF$18</f>
        <v>0.5</v>
      </c>
      <c r="L288" s="382" t="str">
        <f>'Audio Desc.'!$AH$18</f>
        <v>Workflow</v>
      </c>
      <c r="M288" s="407">
        <f>'Audio Desc.'!$AI$18</f>
        <v>0.15</v>
      </c>
      <c r="N288" s="391" t="str">
        <f>'Audio Desc.'!$AJ$18</f>
        <v>Note 4</v>
      </c>
    </row>
    <row r="289" spans="1:14" x14ac:dyDescent="0.35">
      <c r="A289" s="368" t="str">
        <f>'Summary (READ FIRST)'!$B$8</f>
        <v>Supplier 1</v>
      </c>
      <c r="B289" s="367" t="str">
        <f>'Summary (READ FIRST)'!$B$11</f>
        <v>English</v>
      </c>
      <c r="C289" s="367" t="s">
        <v>44</v>
      </c>
      <c r="D289" s="367" t="s">
        <v>29</v>
      </c>
      <c r="E289" s="367" t="s">
        <v>16</v>
      </c>
      <c r="F289" s="367" t="s">
        <v>38</v>
      </c>
      <c r="G289" s="382">
        <f>'Audio Desc.'!J18</f>
        <v>88</v>
      </c>
      <c r="H289" s="382">
        <f>'Audio Desc.'!L18</f>
        <v>57</v>
      </c>
      <c r="I289" s="382"/>
      <c r="J289" s="382">
        <f>'Audio Desc.'!$AE$18</f>
        <v>1</v>
      </c>
      <c r="K289" s="382">
        <f>'Audio Desc.'!$AF$18</f>
        <v>0.5</v>
      </c>
      <c r="L289" s="382" t="str">
        <f>'Audio Desc.'!$AH$18</f>
        <v>Workflow</v>
      </c>
      <c r="M289" s="407">
        <f>'Audio Desc.'!$AI$18</f>
        <v>0.15</v>
      </c>
      <c r="N289" s="391" t="str">
        <f>'Audio Desc.'!$AJ$18</f>
        <v>Note 4</v>
      </c>
    </row>
    <row r="290" spans="1:14" x14ac:dyDescent="0.35">
      <c r="A290" s="368" t="str">
        <f>'Summary (READ FIRST)'!$B$8</f>
        <v>Supplier 1</v>
      </c>
      <c r="B290" s="367" t="str">
        <f>'Summary (READ FIRST)'!$B$11</f>
        <v>English</v>
      </c>
      <c r="C290" s="367" t="s">
        <v>44</v>
      </c>
      <c r="D290" s="367" t="s">
        <v>29</v>
      </c>
      <c r="E290" s="367" t="s">
        <v>16</v>
      </c>
      <c r="F290" s="367" t="s">
        <v>39</v>
      </c>
      <c r="G290" s="382">
        <f>'Audio Desc.'!K18</f>
        <v>38</v>
      </c>
      <c r="H290" s="382">
        <f>'Audio Desc.'!M18</f>
        <v>88</v>
      </c>
      <c r="I290" s="382"/>
      <c r="J290" s="382">
        <f>'Audio Desc.'!$AE$18</f>
        <v>1</v>
      </c>
      <c r="K290" s="382">
        <f>'Audio Desc.'!$AF$18</f>
        <v>0.5</v>
      </c>
      <c r="L290" s="382" t="str">
        <f>'Audio Desc.'!$AH$18</f>
        <v>Workflow</v>
      </c>
      <c r="M290" s="407">
        <f>'Audio Desc.'!$AI$18</f>
        <v>0.15</v>
      </c>
      <c r="N290" s="391" t="str">
        <f>'Audio Desc.'!$AJ$18</f>
        <v>Note 4</v>
      </c>
    </row>
    <row r="291" spans="1:14" x14ac:dyDescent="0.35">
      <c r="A291" s="368" t="str">
        <f>'Summary (READ FIRST)'!$B$8</f>
        <v>Supplier 1</v>
      </c>
      <c r="B291" s="367" t="str">
        <f>'Summary (READ FIRST)'!$B$11</f>
        <v>English</v>
      </c>
      <c r="C291" s="367" t="s">
        <v>44</v>
      </c>
      <c r="D291" s="367" t="s">
        <v>29</v>
      </c>
      <c r="E291" s="367" t="s">
        <v>16</v>
      </c>
      <c r="F291" s="367" t="s">
        <v>40</v>
      </c>
      <c r="G291" s="382">
        <f>'Audio Desc.'!O18</f>
        <v>35</v>
      </c>
      <c r="H291" s="382">
        <f>'Audio Desc.'!Q18</f>
        <v>59</v>
      </c>
      <c r="I291" s="382"/>
      <c r="J291" s="382">
        <f>'Audio Desc.'!$AE$18</f>
        <v>1</v>
      </c>
      <c r="K291" s="382">
        <f>'Audio Desc.'!$AF$18</f>
        <v>0.5</v>
      </c>
      <c r="L291" s="382" t="str">
        <f>'Audio Desc.'!$AH$18</f>
        <v>Workflow</v>
      </c>
      <c r="M291" s="407">
        <f>'Audio Desc.'!$AI$18</f>
        <v>0.15</v>
      </c>
      <c r="N291" s="391" t="str">
        <f>'Audio Desc.'!$AJ$18</f>
        <v>Note 4</v>
      </c>
    </row>
    <row r="292" spans="1:14" x14ac:dyDescent="0.35">
      <c r="A292" s="368" t="str">
        <f>'Summary (READ FIRST)'!$B$8</f>
        <v>Supplier 1</v>
      </c>
      <c r="B292" s="367" t="str">
        <f>'Summary (READ FIRST)'!$B$11</f>
        <v>English</v>
      </c>
      <c r="C292" s="367" t="s">
        <v>44</v>
      </c>
      <c r="D292" s="367" t="s">
        <v>29</v>
      </c>
      <c r="E292" s="367" t="s">
        <v>16</v>
      </c>
      <c r="F292" s="367" t="s">
        <v>41</v>
      </c>
      <c r="G292" s="382">
        <f>'Audio Desc.'!P18</f>
        <v>29</v>
      </c>
      <c r="H292" s="382">
        <f>'Audio Desc.'!R18</f>
        <v>61</v>
      </c>
      <c r="I292" s="382"/>
      <c r="J292" s="382">
        <f>'Audio Desc.'!$AE$18</f>
        <v>1</v>
      </c>
      <c r="K292" s="382">
        <f>'Audio Desc.'!$AF$18</f>
        <v>0.5</v>
      </c>
      <c r="L292" s="382" t="str">
        <f>'Audio Desc.'!$AH$18</f>
        <v>Workflow</v>
      </c>
      <c r="M292" s="407">
        <f>'Audio Desc.'!$AI$18</f>
        <v>0.15</v>
      </c>
      <c r="N292" s="391" t="str">
        <f>'Audio Desc.'!$AJ$18</f>
        <v>Note 4</v>
      </c>
    </row>
    <row r="293" spans="1:14" x14ac:dyDescent="0.35">
      <c r="A293" s="368" t="str">
        <f>'Summary (READ FIRST)'!$B$8</f>
        <v>Supplier 1</v>
      </c>
      <c r="B293" s="367" t="str">
        <f>'Summary (READ FIRST)'!$B$11</f>
        <v>English</v>
      </c>
      <c r="C293" s="367" t="s">
        <v>44</v>
      </c>
      <c r="D293" s="367" t="s">
        <v>29</v>
      </c>
      <c r="E293" s="367" t="s">
        <v>20</v>
      </c>
      <c r="F293" s="367" t="s">
        <v>42</v>
      </c>
      <c r="G293" s="382">
        <f>'Audio Desc.'!T18</f>
        <v>31</v>
      </c>
      <c r="H293" s="382">
        <f>'Audio Desc.'!V18</f>
        <v>76</v>
      </c>
      <c r="I293" s="384">
        <f>'Audio Desc.'!X18</f>
        <v>43</v>
      </c>
      <c r="J293" s="382">
        <f>'Audio Desc.'!$AE$18</f>
        <v>1</v>
      </c>
      <c r="K293" s="382">
        <f>'Audio Desc.'!$AF$18</f>
        <v>0.5</v>
      </c>
      <c r="L293" s="382" t="str">
        <f>'Audio Desc.'!$AH$18</f>
        <v>Workflow</v>
      </c>
      <c r="M293" s="407">
        <f>'Audio Desc.'!$AI$18</f>
        <v>0.15</v>
      </c>
      <c r="N293" s="391" t="str">
        <f>'Audio Desc.'!$AJ$18</f>
        <v>Note 4</v>
      </c>
    </row>
    <row r="294" spans="1:14" x14ac:dyDescent="0.35">
      <c r="A294" s="368" t="str">
        <f>'Summary (READ FIRST)'!$B$8</f>
        <v>Supplier 1</v>
      </c>
      <c r="B294" s="367" t="str">
        <f>'Summary (READ FIRST)'!$B$11</f>
        <v>English</v>
      </c>
      <c r="C294" s="367" t="s">
        <v>44</v>
      </c>
      <c r="D294" s="367" t="s">
        <v>29</v>
      </c>
      <c r="E294" s="367" t="s">
        <v>20</v>
      </c>
      <c r="F294" s="367" t="s">
        <v>43</v>
      </c>
      <c r="G294" s="382">
        <f>'Audio Desc.'!U18</f>
        <v>32</v>
      </c>
      <c r="H294" s="382">
        <f>'Audio Desc.'!W18</f>
        <v>59</v>
      </c>
      <c r="I294" s="384">
        <f>'Audio Desc.'!Y18</f>
        <v>65</v>
      </c>
      <c r="J294" s="382">
        <f>'Audio Desc.'!$AE$18</f>
        <v>1</v>
      </c>
      <c r="K294" s="382">
        <f>'Audio Desc.'!$AF$18</f>
        <v>0.5</v>
      </c>
      <c r="L294" s="382" t="str">
        <f>'Audio Desc.'!$AH$18</f>
        <v>Workflow</v>
      </c>
      <c r="M294" s="407">
        <f>'Audio Desc.'!$AI$18</f>
        <v>0.15</v>
      </c>
      <c r="N294" s="391" t="str">
        <f>'Audio Desc.'!$AJ$18</f>
        <v>Note 4</v>
      </c>
    </row>
    <row r="295" spans="1:14" x14ac:dyDescent="0.35">
      <c r="A295" s="368" t="str">
        <f>'Summary (READ FIRST)'!$B$8</f>
        <v>Supplier 1</v>
      </c>
      <c r="B295" s="367" t="str">
        <f>'Summary (READ FIRST)'!$B$11</f>
        <v>English</v>
      </c>
      <c r="C295" s="367" t="s">
        <v>44</v>
      </c>
      <c r="D295" s="367" t="s">
        <v>29</v>
      </c>
      <c r="E295" s="367" t="s">
        <v>20</v>
      </c>
      <c r="F295" s="367" t="s">
        <v>23</v>
      </c>
      <c r="G295" s="382">
        <f>'Audio Desc.'!AA18</f>
        <v>40</v>
      </c>
      <c r="H295" s="382">
        <f>'Audio Desc.'!AB18</f>
        <v>34</v>
      </c>
      <c r="I295" s="384">
        <f>'Audio Desc.'!AC18</f>
        <v>99</v>
      </c>
      <c r="J295" s="382">
        <f>'Audio Desc.'!$AE$18</f>
        <v>1</v>
      </c>
      <c r="K295" s="382">
        <f>'Audio Desc.'!$AF$18</f>
        <v>0.5</v>
      </c>
      <c r="L295" s="382" t="str">
        <f>'Audio Desc.'!$AH$18</f>
        <v>Workflow</v>
      </c>
      <c r="M295" s="407">
        <f>'Audio Desc.'!$AI$18</f>
        <v>0.15</v>
      </c>
      <c r="N295" s="391" t="str">
        <f>'Audio Desc.'!$AJ$18</f>
        <v>Note 4</v>
      </c>
    </row>
    <row r="296" spans="1:14" x14ac:dyDescent="0.35">
      <c r="A296" s="371" t="str">
        <f>'Summary (READ FIRST)'!$B$8</f>
        <v>Supplier 1</v>
      </c>
      <c r="B296" s="366" t="str">
        <f>'Summary (READ FIRST)'!$B$11</f>
        <v>English</v>
      </c>
      <c r="C296" s="366" t="s">
        <v>44</v>
      </c>
      <c r="D296" s="366" t="s">
        <v>30</v>
      </c>
      <c r="E296" s="366" t="s">
        <v>16</v>
      </c>
      <c r="F296" s="366" t="s">
        <v>36</v>
      </c>
      <c r="G296" s="382">
        <f>'Audio Desc.'!E19</f>
        <v>50</v>
      </c>
      <c r="H296" s="382">
        <f>'Audio Desc.'!G19</f>
        <v>58</v>
      </c>
      <c r="I296" s="382"/>
      <c r="J296" s="382">
        <f>'Audio Desc.'!$AE$19</f>
        <v>1</v>
      </c>
      <c r="K296" s="382">
        <f>'Audio Desc.'!$AF$19</f>
        <v>0</v>
      </c>
      <c r="L296" s="382" t="str">
        <f>'Audio Desc.'!$AH$19</f>
        <v>Automated system</v>
      </c>
      <c r="M296" s="407">
        <f>'Audio Desc.'!$AI$19</f>
        <v>0.2</v>
      </c>
      <c r="N296" s="391" t="str">
        <f>'Audio Desc.'!$AJ$19</f>
        <v>Note 4</v>
      </c>
    </row>
    <row r="297" spans="1:14" x14ac:dyDescent="0.35">
      <c r="A297" s="368" t="str">
        <f>'Summary (READ FIRST)'!$B$8</f>
        <v>Supplier 1</v>
      </c>
      <c r="B297" s="367" t="str">
        <f>'Summary (READ FIRST)'!$B$11</f>
        <v>English</v>
      </c>
      <c r="C297" s="367" t="s">
        <v>44</v>
      </c>
      <c r="D297" s="367" t="s">
        <v>30</v>
      </c>
      <c r="E297" s="367" t="s">
        <v>16</v>
      </c>
      <c r="F297" s="367" t="s">
        <v>37</v>
      </c>
      <c r="G297" s="382">
        <f>'Audio Desc.'!F19</f>
        <v>86</v>
      </c>
      <c r="H297" s="382">
        <f>'Audio Desc.'!H19</f>
        <v>20</v>
      </c>
      <c r="I297" s="382"/>
      <c r="J297" s="382">
        <f>'Audio Desc.'!$AE$19</f>
        <v>1</v>
      </c>
      <c r="K297" s="382">
        <f>'Audio Desc.'!$AF$19</f>
        <v>0</v>
      </c>
      <c r="L297" s="382" t="str">
        <f>'Audio Desc.'!$AH$19</f>
        <v>Automated system</v>
      </c>
      <c r="M297" s="407">
        <f>'Audio Desc.'!$AI$19</f>
        <v>0.2</v>
      </c>
      <c r="N297" s="391" t="str">
        <f>'Audio Desc.'!$AJ$19</f>
        <v>Note 4</v>
      </c>
    </row>
    <row r="298" spans="1:14" x14ac:dyDescent="0.35">
      <c r="A298" s="368" t="str">
        <f>'Summary (READ FIRST)'!$B$8</f>
        <v>Supplier 1</v>
      </c>
      <c r="B298" s="367" t="str">
        <f>'Summary (READ FIRST)'!$B$11</f>
        <v>English</v>
      </c>
      <c r="C298" s="367" t="s">
        <v>44</v>
      </c>
      <c r="D298" s="367" t="s">
        <v>30</v>
      </c>
      <c r="E298" s="367" t="s">
        <v>16</v>
      </c>
      <c r="F298" s="367" t="s">
        <v>38</v>
      </c>
      <c r="G298" s="382">
        <f>'Audio Desc.'!J19</f>
        <v>80</v>
      </c>
      <c r="H298" s="382">
        <f>'Audio Desc.'!L19</f>
        <v>60</v>
      </c>
      <c r="I298" s="382"/>
      <c r="J298" s="382">
        <f>'Audio Desc.'!$AE$19</f>
        <v>1</v>
      </c>
      <c r="K298" s="382">
        <f>'Audio Desc.'!$AF$19</f>
        <v>0</v>
      </c>
      <c r="L298" s="382" t="str">
        <f>'Audio Desc.'!$AH$19</f>
        <v>Automated system</v>
      </c>
      <c r="M298" s="407">
        <f>'Audio Desc.'!$AI$19</f>
        <v>0.2</v>
      </c>
      <c r="N298" s="391" t="str">
        <f>'Audio Desc.'!$AJ$19</f>
        <v>Note 4</v>
      </c>
    </row>
    <row r="299" spans="1:14" x14ac:dyDescent="0.35">
      <c r="A299" s="368" t="str">
        <f>'Summary (READ FIRST)'!$B$8</f>
        <v>Supplier 1</v>
      </c>
      <c r="B299" s="367" t="str">
        <f>'Summary (READ FIRST)'!$B$11</f>
        <v>English</v>
      </c>
      <c r="C299" s="367" t="s">
        <v>44</v>
      </c>
      <c r="D299" s="367" t="s">
        <v>30</v>
      </c>
      <c r="E299" s="367" t="s">
        <v>16</v>
      </c>
      <c r="F299" s="367" t="s">
        <v>39</v>
      </c>
      <c r="G299" s="382">
        <f>'Audio Desc.'!K19</f>
        <v>43</v>
      </c>
      <c r="H299" s="382">
        <f>'Audio Desc.'!M19</f>
        <v>98</v>
      </c>
      <c r="I299" s="382"/>
      <c r="J299" s="382">
        <f>'Audio Desc.'!$AE$19</f>
        <v>1</v>
      </c>
      <c r="K299" s="382">
        <f>'Audio Desc.'!$AF$19</f>
        <v>0</v>
      </c>
      <c r="L299" s="382" t="str">
        <f>'Audio Desc.'!$AH$19</f>
        <v>Automated system</v>
      </c>
      <c r="M299" s="407">
        <f>'Audio Desc.'!$AI$19</f>
        <v>0.2</v>
      </c>
      <c r="N299" s="391" t="str">
        <f>'Audio Desc.'!$AJ$19</f>
        <v>Note 4</v>
      </c>
    </row>
    <row r="300" spans="1:14" x14ac:dyDescent="0.35">
      <c r="A300" s="368" t="str">
        <f>'Summary (READ FIRST)'!$B$8</f>
        <v>Supplier 1</v>
      </c>
      <c r="B300" s="367" t="str">
        <f>'Summary (READ FIRST)'!$B$11</f>
        <v>English</v>
      </c>
      <c r="C300" s="367" t="s">
        <v>44</v>
      </c>
      <c r="D300" s="367" t="s">
        <v>30</v>
      </c>
      <c r="E300" s="367" t="s">
        <v>16</v>
      </c>
      <c r="F300" s="367" t="s">
        <v>40</v>
      </c>
      <c r="G300" s="382">
        <f>'Audio Desc.'!O19</f>
        <v>0</v>
      </c>
      <c r="H300" s="382">
        <f>'Audio Desc.'!Q19</f>
        <v>87</v>
      </c>
      <c r="I300" s="382"/>
      <c r="J300" s="382">
        <f>'Audio Desc.'!$AE$19</f>
        <v>1</v>
      </c>
      <c r="K300" s="382">
        <f>'Audio Desc.'!$AF$19</f>
        <v>0</v>
      </c>
      <c r="L300" s="382" t="str">
        <f>'Audio Desc.'!$AH$19</f>
        <v>Automated system</v>
      </c>
      <c r="M300" s="407">
        <f>'Audio Desc.'!$AI$19</f>
        <v>0.2</v>
      </c>
      <c r="N300" s="391" t="str">
        <f>'Audio Desc.'!$AJ$19</f>
        <v>Note 4</v>
      </c>
    </row>
    <row r="301" spans="1:14" x14ac:dyDescent="0.35">
      <c r="A301" s="368" t="str">
        <f>'Summary (READ FIRST)'!$B$8</f>
        <v>Supplier 1</v>
      </c>
      <c r="B301" s="367" t="str">
        <f>'Summary (READ FIRST)'!$B$11</f>
        <v>English</v>
      </c>
      <c r="C301" s="367" t="s">
        <v>44</v>
      </c>
      <c r="D301" s="367" t="s">
        <v>30</v>
      </c>
      <c r="E301" s="367" t="s">
        <v>16</v>
      </c>
      <c r="F301" s="367" t="s">
        <v>41</v>
      </c>
      <c r="G301" s="382">
        <f>'Audio Desc.'!P19</f>
        <v>35</v>
      </c>
      <c r="H301" s="382">
        <f>'Audio Desc.'!R19</f>
        <v>0</v>
      </c>
      <c r="I301" s="382"/>
      <c r="J301" s="382">
        <f>'Audio Desc.'!$AE$19</f>
        <v>1</v>
      </c>
      <c r="K301" s="382">
        <f>'Audio Desc.'!$AF$19</f>
        <v>0</v>
      </c>
      <c r="L301" s="382" t="str">
        <f>'Audio Desc.'!$AH$19</f>
        <v>Automated system</v>
      </c>
      <c r="M301" s="407">
        <f>'Audio Desc.'!$AI$19</f>
        <v>0.2</v>
      </c>
      <c r="N301" s="391" t="str">
        <f>'Audio Desc.'!$AJ$19</f>
        <v>Note 4</v>
      </c>
    </row>
    <row r="302" spans="1:14" x14ac:dyDescent="0.35">
      <c r="A302" s="368" t="str">
        <f>'Summary (READ FIRST)'!$B$8</f>
        <v>Supplier 1</v>
      </c>
      <c r="B302" s="367" t="str">
        <f>'Summary (READ FIRST)'!$B$11</f>
        <v>English</v>
      </c>
      <c r="C302" s="367" t="s">
        <v>44</v>
      </c>
      <c r="D302" s="367" t="s">
        <v>30</v>
      </c>
      <c r="E302" s="367" t="s">
        <v>20</v>
      </c>
      <c r="F302" s="367" t="s">
        <v>42</v>
      </c>
      <c r="G302" s="382">
        <f>'Audio Desc.'!T19</f>
        <v>0</v>
      </c>
      <c r="H302" s="382">
        <f>'Audio Desc.'!V19</f>
        <v>57</v>
      </c>
      <c r="I302" s="384">
        <f>'Audio Desc.'!X19</f>
        <v>44</v>
      </c>
      <c r="J302" s="382">
        <f>'Audio Desc.'!$AE$19</f>
        <v>1</v>
      </c>
      <c r="K302" s="382">
        <f>'Audio Desc.'!$AF$19</f>
        <v>0</v>
      </c>
      <c r="L302" s="382" t="str">
        <f>'Audio Desc.'!$AH$19</f>
        <v>Automated system</v>
      </c>
      <c r="M302" s="407">
        <f>'Audio Desc.'!$AI$19</f>
        <v>0.2</v>
      </c>
      <c r="N302" s="391" t="str">
        <f>'Audio Desc.'!$AJ$19</f>
        <v>Note 4</v>
      </c>
    </row>
    <row r="303" spans="1:14" x14ac:dyDescent="0.35">
      <c r="A303" s="368" t="str">
        <f>'Summary (READ FIRST)'!$B$8</f>
        <v>Supplier 1</v>
      </c>
      <c r="B303" s="367" t="str">
        <f>'Summary (READ FIRST)'!$B$11</f>
        <v>English</v>
      </c>
      <c r="C303" s="367" t="s">
        <v>44</v>
      </c>
      <c r="D303" s="367" t="s">
        <v>30</v>
      </c>
      <c r="E303" s="367" t="s">
        <v>20</v>
      </c>
      <c r="F303" s="367" t="s">
        <v>43</v>
      </c>
      <c r="G303" s="382">
        <f>'Audio Desc.'!U19</f>
        <v>49</v>
      </c>
      <c r="H303" s="382">
        <f>'Audio Desc.'!W19</f>
        <v>38</v>
      </c>
      <c r="I303" s="384">
        <f>'Audio Desc.'!Y19</f>
        <v>0</v>
      </c>
      <c r="J303" s="382">
        <f>'Audio Desc.'!$AE$19</f>
        <v>1</v>
      </c>
      <c r="K303" s="382">
        <f>'Audio Desc.'!$AF$19</f>
        <v>0</v>
      </c>
      <c r="L303" s="382" t="str">
        <f>'Audio Desc.'!$AH$19</f>
        <v>Automated system</v>
      </c>
      <c r="M303" s="407">
        <f>'Audio Desc.'!$AI$19</f>
        <v>0.2</v>
      </c>
      <c r="N303" s="391" t="str">
        <f>'Audio Desc.'!$AJ$19</f>
        <v>Note 4</v>
      </c>
    </row>
    <row r="304" spans="1:14" x14ac:dyDescent="0.35">
      <c r="A304" s="368" t="str">
        <f>'Summary (READ FIRST)'!$B$8</f>
        <v>Supplier 1</v>
      </c>
      <c r="B304" s="367" t="str">
        <f>'Summary (READ FIRST)'!$B$11</f>
        <v>English</v>
      </c>
      <c r="C304" s="367" t="s">
        <v>44</v>
      </c>
      <c r="D304" s="367" t="s">
        <v>30</v>
      </c>
      <c r="E304" s="367" t="s">
        <v>20</v>
      </c>
      <c r="F304" s="367" t="s">
        <v>23</v>
      </c>
      <c r="G304" s="382">
        <f>'Audio Desc.'!AA19</f>
        <v>0</v>
      </c>
      <c r="H304" s="382">
        <f>'Audio Desc.'!AB19</f>
        <v>42</v>
      </c>
      <c r="I304" s="384">
        <f>'Audio Desc.'!AC19</f>
        <v>30</v>
      </c>
      <c r="J304" s="382">
        <f>'Audio Desc.'!$AE$19</f>
        <v>1</v>
      </c>
      <c r="K304" s="382">
        <f>'Audio Desc.'!$AF$19</f>
        <v>0</v>
      </c>
      <c r="L304" s="382" t="str">
        <f>'Audio Desc.'!$AH$19</f>
        <v>Automated system</v>
      </c>
      <c r="M304" s="407">
        <f>'Audio Desc.'!$AI$19</f>
        <v>0.2</v>
      </c>
      <c r="N304" s="391" t="str">
        <f>'Audio Desc.'!$AJ$19</f>
        <v>Note 4</v>
      </c>
    </row>
    <row r="305" spans="1:14" x14ac:dyDescent="0.35">
      <c r="A305" s="371" t="str">
        <f>'Summary (READ FIRST)'!$B$8</f>
        <v>Supplier 1</v>
      </c>
      <c r="B305" s="366" t="str">
        <f>'Summary (READ FIRST)'!$B$11</f>
        <v>English</v>
      </c>
      <c r="C305" s="366" t="s">
        <v>44</v>
      </c>
      <c r="D305" s="366" t="s">
        <v>31</v>
      </c>
      <c r="E305" s="366" t="s">
        <v>16</v>
      </c>
      <c r="F305" s="366" t="s">
        <v>36</v>
      </c>
      <c r="G305" s="382">
        <f>'Audio Desc.'!E20</f>
        <v>55</v>
      </c>
      <c r="H305" s="382">
        <f>'Audio Desc.'!G20</f>
        <v>17</v>
      </c>
      <c r="I305" s="382"/>
      <c r="J305" s="382">
        <f>'Audio Desc.'!$AE$20</f>
        <v>0</v>
      </c>
      <c r="K305" s="382">
        <f>'Audio Desc.'!$AF$20</f>
        <v>0.5</v>
      </c>
      <c r="L305" s="382">
        <f>'Audio Desc.'!$AH$20</f>
        <v>0</v>
      </c>
      <c r="M305" s="407">
        <f>'Audio Desc.'!$AI$20</f>
        <v>0</v>
      </c>
      <c r="N305" s="391" t="str">
        <f>'Audio Desc.'!$AJ$20</f>
        <v>Note 4</v>
      </c>
    </row>
    <row r="306" spans="1:14" x14ac:dyDescent="0.35">
      <c r="A306" s="368" t="str">
        <f>'Summary (READ FIRST)'!$B$8</f>
        <v>Supplier 1</v>
      </c>
      <c r="B306" s="367" t="str">
        <f>'Summary (READ FIRST)'!$B$11</f>
        <v>English</v>
      </c>
      <c r="C306" s="367" t="s">
        <v>44</v>
      </c>
      <c r="D306" s="367" t="s">
        <v>31</v>
      </c>
      <c r="E306" s="367" t="s">
        <v>16</v>
      </c>
      <c r="F306" s="367" t="s">
        <v>37</v>
      </c>
      <c r="G306" s="382">
        <f>'Audio Desc.'!F20</f>
        <v>99</v>
      </c>
      <c r="H306" s="382">
        <f>'Audio Desc.'!H20</f>
        <v>44</v>
      </c>
      <c r="I306" s="382"/>
      <c r="J306" s="382">
        <f>'Audio Desc.'!$AE$20</f>
        <v>0</v>
      </c>
      <c r="K306" s="382">
        <f>'Audio Desc.'!$AF$20</f>
        <v>0.5</v>
      </c>
      <c r="L306" s="382">
        <f>'Audio Desc.'!$AH$20</f>
        <v>0</v>
      </c>
      <c r="M306" s="407">
        <f>'Audio Desc.'!$AI$20</f>
        <v>0</v>
      </c>
      <c r="N306" s="391" t="str">
        <f>'Audio Desc.'!$AJ$20</f>
        <v>Note 4</v>
      </c>
    </row>
    <row r="307" spans="1:14" x14ac:dyDescent="0.35">
      <c r="A307" s="368" t="str">
        <f>'Summary (READ FIRST)'!$B$8</f>
        <v>Supplier 1</v>
      </c>
      <c r="B307" s="367" t="str">
        <f>'Summary (READ FIRST)'!$B$11</f>
        <v>English</v>
      </c>
      <c r="C307" s="367" t="s">
        <v>44</v>
      </c>
      <c r="D307" s="367" t="s">
        <v>31</v>
      </c>
      <c r="E307" s="367" t="s">
        <v>16</v>
      </c>
      <c r="F307" s="367" t="s">
        <v>38</v>
      </c>
      <c r="G307" s="382">
        <f>'Audio Desc.'!J20</f>
        <v>0</v>
      </c>
      <c r="H307" s="382">
        <f>'Audio Desc.'!L20</f>
        <v>0</v>
      </c>
      <c r="I307" s="382"/>
      <c r="J307" s="382">
        <f>'Audio Desc.'!$AE$20</f>
        <v>0</v>
      </c>
      <c r="K307" s="382">
        <f>'Audio Desc.'!$AF$20</f>
        <v>0.5</v>
      </c>
      <c r="L307" s="382">
        <f>'Audio Desc.'!$AH$20</f>
        <v>0</v>
      </c>
      <c r="M307" s="407">
        <f>'Audio Desc.'!$AI$20</f>
        <v>0</v>
      </c>
      <c r="N307" s="391" t="str">
        <f>'Audio Desc.'!$AJ$20</f>
        <v>Note 4</v>
      </c>
    </row>
    <row r="308" spans="1:14" x14ac:dyDescent="0.35">
      <c r="A308" s="368" t="str">
        <f>'Summary (READ FIRST)'!$B$8</f>
        <v>Supplier 1</v>
      </c>
      <c r="B308" s="367" t="str">
        <f>'Summary (READ FIRST)'!$B$11</f>
        <v>English</v>
      </c>
      <c r="C308" s="367" t="s">
        <v>44</v>
      </c>
      <c r="D308" s="367" t="s">
        <v>31</v>
      </c>
      <c r="E308" s="367" t="s">
        <v>16</v>
      </c>
      <c r="F308" s="367" t="s">
        <v>39</v>
      </c>
      <c r="G308" s="382">
        <f>'Audio Desc.'!K20</f>
        <v>0</v>
      </c>
      <c r="H308" s="382">
        <f>'Audio Desc.'!M20</f>
        <v>0</v>
      </c>
      <c r="I308" s="382"/>
      <c r="J308" s="382">
        <f>'Audio Desc.'!$AE$20</f>
        <v>0</v>
      </c>
      <c r="K308" s="382">
        <f>'Audio Desc.'!$AF$20</f>
        <v>0.5</v>
      </c>
      <c r="L308" s="382">
        <f>'Audio Desc.'!$AH$20</f>
        <v>0</v>
      </c>
      <c r="M308" s="407">
        <f>'Audio Desc.'!$AI$20</f>
        <v>0</v>
      </c>
      <c r="N308" s="391" t="str">
        <f>'Audio Desc.'!$AJ$20</f>
        <v>Note 4</v>
      </c>
    </row>
    <row r="309" spans="1:14" x14ac:dyDescent="0.35">
      <c r="A309" s="368" t="str">
        <f>'Summary (READ FIRST)'!$B$8</f>
        <v>Supplier 1</v>
      </c>
      <c r="B309" s="367" t="str">
        <f>'Summary (READ FIRST)'!$B$11</f>
        <v>English</v>
      </c>
      <c r="C309" s="367" t="s">
        <v>44</v>
      </c>
      <c r="D309" s="367" t="s">
        <v>31</v>
      </c>
      <c r="E309" s="367" t="s">
        <v>16</v>
      </c>
      <c r="F309" s="367" t="s">
        <v>40</v>
      </c>
      <c r="G309" s="382">
        <f>'Audio Desc.'!O20</f>
        <v>52</v>
      </c>
      <c r="H309" s="382">
        <f>'Audio Desc.'!Q20</f>
        <v>71</v>
      </c>
      <c r="I309" s="382"/>
      <c r="J309" s="382">
        <f>'Audio Desc.'!$AE$20</f>
        <v>0</v>
      </c>
      <c r="K309" s="382">
        <f>'Audio Desc.'!$AF$20</f>
        <v>0.5</v>
      </c>
      <c r="L309" s="382">
        <f>'Audio Desc.'!$AH$20</f>
        <v>0</v>
      </c>
      <c r="M309" s="407">
        <f>'Audio Desc.'!$AI$20</f>
        <v>0</v>
      </c>
      <c r="N309" s="391" t="str">
        <f>'Audio Desc.'!$AJ$20</f>
        <v>Note 4</v>
      </c>
    </row>
    <row r="310" spans="1:14" x14ac:dyDescent="0.35">
      <c r="A310" s="368" t="str">
        <f>'Summary (READ FIRST)'!$B$8</f>
        <v>Supplier 1</v>
      </c>
      <c r="B310" s="367" t="str">
        <f>'Summary (READ FIRST)'!$B$11</f>
        <v>English</v>
      </c>
      <c r="C310" s="367" t="s">
        <v>44</v>
      </c>
      <c r="D310" s="367" t="s">
        <v>31</v>
      </c>
      <c r="E310" s="367" t="s">
        <v>16</v>
      </c>
      <c r="F310" s="367" t="s">
        <v>41</v>
      </c>
      <c r="G310" s="382">
        <f>'Audio Desc.'!P20</f>
        <v>50</v>
      </c>
      <c r="H310" s="382">
        <f>'Audio Desc.'!R20</f>
        <v>50</v>
      </c>
      <c r="I310" s="382"/>
      <c r="J310" s="382">
        <f>'Audio Desc.'!$AE$20</f>
        <v>0</v>
      </c>
      <c r="K310" s="382">
        <f>'Audio Desc.'!$AF$20</f>
        <v>0.5</v>
      </c>
      <c r="L310" s="382">
        <f>'Audio Desc.'!$AH$20</f>
        <v>0</v>
      </c>
      <c r="M310" s="407">
        <f>'Audio Desc.'!$AI$20</f>
        <v>0</v>
      </c>
      <c r="N310" s="391" t="str">
        <f>'Audio Desc.'!$AJ$20</f>
        <v>Note 4</v>
      </c>
    </row>
    <row r="311" spans="1:14" x14ac:dyDescent="0.35">
      <c r="A311" s="368" t="str">
        <f>'Summary (READ FIRST)'!$B$8</f>
        <v>Supplier 1</v>
      </c>
      <c r="B311" s="367" t="str">
        <f>'Summary (READ FIRST)'!$B$11</f>
        <v>English</v>
      </c>
      <c r="C311" s="367" t="s">
        <v>44</v>
      </c>
      <c r="D311" s="367" t="s">
        <v>31</v>
      </c>
      <c r="E311" s="367" t="s">
        <v>20</v>
      </c>
      <c r="F311" s="367" t="s">
        <v>42</v>
      </c>
      <c r="G311" s="382">
        <f>'Audio Desc.'!T20</f>
        <v>33</v>
      </c>
      <c r="H311" s="382">
        <f>'Audio Desc.'!V20</f>
        <v>0</v>
      </c>
      <c r="I311" s="384">
        <f>'Audio Desc.'!X20</f>
        <v>37</v>
      </c>
      <c r="J311" s="382">
        <f>'Audio Desc.'!$AE$20</f>
        <v>0</v>
      </c>
      <c r="K311" s="382">
        <f>'Audio Desc.'!$AF$20</f>
        <v>0.5</v>
      </c>
      <c r="L311" s="382">
        <f>'Audio Desc.'!$AH$20</f>
        <v>0</v>
      </c>
      <c r="M311" s="407">
        <f>'Audio Desc.'!$AI$20</f>
        <v>0</v>
      </c>
      <c r="N311" s="391" t="str">
        <f>'Audio Desc.'!$AJ$20</f>
        <v>Note 4</v>
      </c>
    </row>
    <row r="312" spans="1:14" x14ac:dyDescent="0.35">
      <c r="A312" s="368" t="str">
        <f>'Summary (READ FIRST)'!$B$8</f>
        <v>Supplier 1</v>
      </c>
      <c r="B312" s="367" t="str">
        <f>'Summary (READ FIRST)'!$B$11</f>
        <v>English</v>
      </c>
      <c r="C312" s="367" t="s">
        <v>44</v>
      </c>
      <c r="D312" s="367" t="s">
        <v>31</v>
      </c>
      <c r="E312" s="367" t="s">
        <v>20</v>
      </c>
      <c r="F312" s="367" t="s">
        <v>43</v>
      </c>
      <c r="G312" s="382">
        <f>'Audio Desc.'!U20</f>
        <v>0</v>
      </c>
      <c r="H312" s="382">
        <f>'Audio Desc.'!W20</f>
        <v>0</v>
      </c>
      <c r="I312" s="384">
        <f>'Audio Desc.'!Y20</f>
        <v>91</v>
      </c>
      <c r="J312" s="382">
        <f>'Audio Desc.'!$AE$20</f>
        <v>0</v>
      </c>
      <c r="K312" s="382">
        <f>'Audio Desc.'!$AF$20</f>
        <v>0.5</v>
      </c>
      <c r="L312" s="382">
        <f>'Audio Desc.'!$AH$20</f>
        <v>0</v>
      </c>
      <c r="M312" s="407">
        <f>'Audio Desc.'!$AI$20</f>
        <v>0</v>
      </c>
      <c r="N312" s="391" t="str">
        <f>'Audio Desc.'!$AJ$20</f>
        <v>Note 4</v>
      </c>
    </row>
    <row r="313" spans="1:14" x14ac:dyDescent="0.35">
      <c r="A313" s="368" t="str">
        <f>'Summary (READ FIRST)'!$B$8</f>
        <v>Supplier 1</v>
      </c>
      <c r="B313" s="367" t="str">
        <f>'Summary (READ FIRST)'!$B$11</f>
        <v>English</v>
      </c>
      <c r="C313" s="367" t="s">
        <v>44</v>
      </c>
      <c r="D313" s="367" t="s">
        <v>31</v>
      </c>
      <c r="E313" s="367" t="s">
        <v>20</v>
      </c>
      <c r="F313" s="367" t="s">
        <v>23</v>
      </c>
      <c r="G313" s="382">
        <f>'Audio Desc.'!AA20</f>
        <v>78</v>
      </c>
      <c r="H313" s="382">
        <f>'Audio Desc.'!AB20</f>
        <v>57</v>
      </c>
      <c r="I313" s="384">
        <f>'Audio Desc.'!AC20</f>
        <v>0</v>
      </c>
      <c r="J313" s="382">
        <f>'Audio Desc.'!$AE$20</f>
        <v>0</v>
      </c>
      <c r="K313" s="382">
        <f>'Audio Desc.'!$AF$20</f>
        <v>0.5</v>
      </c>
      <c r="L313" s="382">
        <f>'Audio Desc.'!$AH$20</f>
        <v>0</v>
      </c>
      <c r="M313" s="407">
        <f>'Audio Desc.'!$AI$20</f>
        <v>0</v>
      </c>
      <c r="N313" s="391" t="str">
        <f>'Audio Desc.'!$AJ$20</f>
        <v>Note 4</v>
      </c>
    </row>
    <row r="314" spans="1:14" x14ac:dyDescent="0.35">
      <c r="A314" s="371" t="str">
        <f>'Summary (READ FIRST)'!$B$8</f>
        <v>Supplier 1</v>
      </c>
      <c r="B314" s="366" t="str">
        <f>'Summary (READ FIRST)'!$B$11</f>
        <v>English</v>
      </c>
      <c r="C314" s="366" t="s">
        <v>44</v>
      </c>
      <c r="D314" s="366" t="s">
        <v>32</v>
      </c>
      <c r="E314" s="366" t="s">
        <v>16</v>
      </c>
      <c r="F314" s="366" t="s">
        <v>36</v>
      </c>
      <c r="G314" s="382">
        <f>'Audio Desc.'!E21</f>
        <v>72</v>
      </c>
      <c r="H314" s="382">
        <f>'Audio Desc.'!G21</f>
        <v>31</v>
      </c>
      <c r="I314" s="382"/>
      <c r="J314" s="382">
        <f>'Audio Desc.'!$AE$21</f>
        <v>1</v>
      </c>
      <c r="K314" s="382">
        <f>'Audio Desc.'!$AF$21</f>
        <v>0.5</v>
      </c>
      <c r="L314" s="382" t="str">
        <f>'Audio Desc.'!$AH$21</f>
        <v>Workflow</v>
      </c>
      <c r="M314" s="407">
        <f>'Audio Desc.'!$AI$21</f>
        <v>0.15</v>
      </c>
      <c r="N314" s="391">
        <f>'Audio Desc.'!$AJ$21</f>
        <v>0</v>
      </c>
    </row>
    <row r="315" spans="1:14" x14ac:dyDescent="0.35">
      <c r="A315" s="368" t="str">
        <f>'Summary (READ FIRST)'!$B$8</f>
        <v>Supplier 1</v>
      </c>
      <c r="B315" s="367" t="str">
        <f>'Summary (READ FIRST)'!$B$11</f>
        <v>English</v>
      </c>
      <c r="C315" s="367" t="s">
        <v>44</v>
      </c>
      <c r="D315" s="367" t="s">
        <v>32</v>
      </c>
      <c r="E315" s="367" t="s">
        <v>16</v>
      </c>
      <c r="F315" s="367" t="s">
        <v>37</v>
      </c>
      <c r="G315" s="382">
        <f>'Audio Desc.'!F21</f>
        <v>32</v>
      </c>
      <c r="H315" s="382">
        <f>'Audio Desc.'!H21</f>
        <v>0</v>
      </c>
      <c r="I315" s="382"/>
      <c r="J315" s="382">
        <f>'Audio Desc.'!$AE$21</f>
        <v>1</v>
      </c>
      <c r="K315" s="382">
        <f>'Audio Desc.'!$AF$21</f>
        <v>0.5</v>
      </c>
      <c r="L315" s="382" t="str">
        <f>'Audio Desc.'!$AH$21</f>
        <v>Workflow</v>
      </c>
      <c r="M315" s="407">
        <f>'Audio Desc.'!$AI$21</f>
        <v>0.15</v>
      </c>
      <c r="N315" s="391">
        <f>'Audio Desc.'!$AJ$21</f>
        <v>0</v>
      </c>
    </row>
    <row r="316" spans="1:14" x14ac:dyDescent="0.35">
      <c r="A316" s="368" t="str">
        <f>'Summary (READ FIRST)'!$B$8</f>
        <v>Supplier 1</v>
      </c>
      <c r="B316" s="367" t="str">
        <f>'Summary (READ FIRST)'!$B$11</f>
        <v>English</v>
      </c>
      <c r="C316" s="367" t="s">
        <v>44</v>
      </c>
      <c r="D316" s="367" t="s">
        <v>32</v>
      </c>
      <c r="E316" s="367" t="s">
        <v>16</v>
      </c>
      <c r="F316" s="367" t="s">
        <v>38</v>
      </c>
      <c r="G316" s="382">
        <f>'Audio Desc.'!J21</f>
        <v>99</v>
      </c>
      <c r="H316" s="382">
        <f>'Audio Desc.'!L21</f>
        <v>49</v>
      </c>
      <c r="I316" s="382"/>
      <c r="J316" s="382">
        <f>'Audio Desc.'!$AE$21</f>
        <v>1</v>
      </c>
      <c r="K316" s="382">
        <f>'Audio Desc.'!$AF$21</f>
        <v>0.5</v>
      </c>
      <c r="L316" s="382" t="str">
        <f>'Audio Desc.'!$AH$21</f>
        <v>Workflow</v>
      </c>
      <c r="M316" s="407">
        <f>'Audio Desc.'!$AI$21</f>
        <v>0.15</v>
      </c>
      <c r="N316" s="391">
        <f>'Audio Desc.'!$AJ$21</f>
        <v>0</v>
      </c>
    </row>
    <row r="317" spans="1:14" x14ac:dyDescent="0.35">
      <c r="A317" s="368" t="str">
        <f>'Summary (READ FIRST)'!$B$8</f>
        <v>Supplier 1</v>
      </c>
      <c r="B317" s="367" t="str">
        <f>'Summary (READ FIRST)'!$B$11</f>
        <v>English</v>
      </c>
      <c r="C317" s="367" t="s">
        <v>44</v>
      </c>
      <c r="D317" s="367" t="s">
        <v>32</v>
      </c>
      <c r="E317" s="367" t="s">
        <v>16</v>
      </c>
      <c r="F317" s="367" t="s">
        <v>39</v>
      </c>
      <c r="G317" s="382">
        <f>'Audio Desc.'!K21</f>
        <v>40</v>
      </c>
      <c r="H317" s="382">
        <f>'Audio Desc.'!M21</f>
        <v>90</v>
      </c>
      <c r="I317" s="382"/>
      <c r="J317" s="382">
        <f>'Audio Desc.'!$AE$21</f>
        <v>1</v>
      </c>
      <c r="K317" s="382">
        <f>'Audio Desc.'!$AF$21</f>
        <v>0.5</v>
      </c>
      <c r="L317" s="382" t="str">
        <f>'Audio Desc.'!$AH$21</f>
        <v>Workflow</v>
      </c>
      <c r="M317" s="407">
        <f>'Audio Desc.'!$AI$21</f>
        <v>0.15</v>
      </c>
      <c r="N317" s="391">
        <f>'Audio Desc.'!$AJ$21</f>
        <v>0</v>
      </c>
    </row>
    <row r="318" spans="1:14" x14ac:dyDescent="0.35">
      <c r="A318" s="368" t="str">
        <f>'Summary (READ FIRST)'!$B$8</f>
        <v>Supplier 1</v>
      </c>
      <c r="B318" s="367" t="str">
        <f>'Summary (READ FIRST)'!$B$11</f>
        <v>English</v>
      </c>
      <c r="C318" s="367" t="s">
        <v>44</v>
      </c>
      <c r="D318" s="367" t="s">
        <v>32</v>
      </c>
      <c r="E318" s="367" t="s">
        <v>16</v>
      </c>
      <c r="F318" s="367" t="s">
        <v>40</v>
      </c>
      <c r="G318" s="382">
        <f>'Audio Desc.'!O21</f>
        <v>39</v>
      </c>
      <c r="H318" s="382">
        <f>'Audio Desc.'!Q21</f>
        <v>0</v>
      </c>
      <c r="I318" s="382"/>
      <c r="J318" s="382">
        <f>'Audio Desc.'!$AE$21</f>
        <v>1</v>
      </c>
      <c r="K318" s="382">
        <f>'Audio Desc.'!$AF$21</f>
        <v>0.5</v>
      </c>
      <c r="L318" s="382" t="str">
        <f>'Audio Desc.'!$AH$21</f>
        <v>Workflow</v>
      </c>
      <c r="M318" s="407">
        <f>'Audio Desc.'!$AI$21</f>
        <v>0.15</v>
      </c>
      <c r="N318" s="391">
        <f>'Audio Desc.'!$AJ$21</f>
        <v>0</v>
      </c>
    </row>
    <row r="319" spans="1:14" x14ac:dyDescent="0.35">
      <c r="A319" s="368" t="str">
        <f>'Summary (READ FIRST)'!$B$8</f>
        <v>Supplier 1</v>
      </c>
      <c r="B319" s="367" t="str">
        <f>'Summary (READ FIRST)'!$B$11</f>
        <v>English</v>
      </c>
      <c r="C319" s="367" t="s">
        <v>44</v>
      </c>
      <c r="D319" s="367" t="s">
        <v>32</v>
      </c>
      <c r="E319" s="367" t="s">
        <v>16</v>
      </c>
      <c r="F319" s="367" t="s">
        <v>41</v>
      </c>
      <c r="G319" s="382">
        <f>'Audio Desc.'!P21</f>
        <v>19</v>
      </c>
      <c r="H319" s="382">
        <f>'Audio Desc.'!R21</f>
        <v>32</v>
      </c>
      <c r="I319" s="382"/>
      <c r="J319" s="382">
        <f>'Audio Desc.'!$AE$21</f>
        <v>1</v>
      </c>
      <c r="K319" s="382">
        <f>'Audio Desc.'!$AF$21</f>
        <v>0.5</v>
      </c>
      <c r="L319" s="382" t="str">
        <f>'Audio Desc.'!$AH$21</f>
        <v>Workflow</v>
      </c>
      <c r="M319" s="407">
        <f>'Audio Desc.'!$AI$21</f>
        <v>0.15</v>
      </c>
      <c r="N319" s="391">
        <f>'Audio Desc.'!$AJ$21</f>
        <v>0</v>
      </c>
    </row>
    <row r="320" spans="1:14" x14ac:dyDescent="0.35">
      <c r="A320" s="368" t="str">
        <f>'Summary (READ FIRST)'!$B$8</f>
        <v>Supplier 1</v>
      </c>
      <c r="B320" s="367" t="str">
        <f>'Summary (READ FIRST)'!$B$11</f>
        <v>English</v>
      </c>
      <c r="C320" s="367" t="s">
        <v>44</v>
      </c>
      <c r="D320" s="367" t="s">
        <v>32</v>
      </c>
      <c r="E320" s="367" t="s">
        <v>20</v>
      </c>
      <c r="F320" s="367" t="s">
        <v>42</v>
      </c>
      <c r="G320" s="382">
        <f>'Audio Desc.'!T21</f>
        <v>55</v>
      </c>
      <c r="H320" s="382">
        <f>'Audio Desc.'!V21</f>
        <v>91</v>
      </c>
      <c r="I320" s="384">
        <f>'Audio Desc.'!X21</f>
        <v>85</v>
      </c>
      <c r="J320" s="382">
        <f>'Audio Desc.'!$AE$21</f>
        <v>1</v>
      </c>
      <c r="K320" s="382">
        <f>'Audio Desc.'!$AF$21</f>
        <v>0.5</v>
      </c>
      <c r="L320" s="382" t="str">
        <f>'Audio Desc.'!$AH$21</f>
        <v>Workflow</v>
      </c>
      <c r="M320" s="407">
        <f>'Audio Desc.'!$AI$21</f>
        <v>0.15</v>
      </c>
      <c r="N320" s="391">
        <f>'Audio Desc.'!$AJ$21</f>
        <v>0</v>
      </c>
    </row>
    <row r="321" spans="1:14" x14ac:dyDescent="0.35">
      <c r="A321" s="368" t="str">
        <f>'Summary (READ FIRST)'!$B$8</f>
        <v>Supplier 1</v>
      </c>
      <c r="B321" s="367" t="str">
        <f>'Summary (READ FIRST)'!$B$11</f>
        <v>English</v>
      </c>
      <c r="C321" s="367" t="s">
        <v>44</v>
      </c>
      <c r="D321" s="367" t="s">
        <v>32</v>
      </c>
      <c r="E321" s="367" t="s">
        <v>20</v>
      </c>
      <c r="F321" s="367" t="s">
        <v>43</v>
      </c>
      <c r="G321" s="382">
        <f>'Audio Desc.'!U21</f>
        <v>71</v>
      </c>
      <c r="H321" s="382">
        <f>'Audio Desc.'!W21</f>
        <v>66</v>
      </c>
      <c r="I321" s="384">
        <f>'Audio Desc.'!Y21</f>
        <v>77</v>
      </c>
      <c r="J321" s="382">
        <f>'Audio Desc.'!$AE$21</f>
        <v>1</v>
      </c>
      <c r="K321" s="382">
        <f>'Audio Desc.'!$AF$21</f>
        <v>0.5</v>
      </c>
      <c r="L321" s="382" t="str">
        <f>'Audio Desc.'!$AH$21</f>
        <v>Workflow</v>
      </c>
      <c r="M321" s="407">
        <f>'Audio Desc.'!$AI$21</f>
        <v>0.15</v>
      </c>
      <c r="N321" s="391">
        <f>'Audio Desc.'!$AJ$21</f>
        <v>0</v>
      </c>
    </row>
    <row r="322" spans="1:14" x14ac:dyDescent="0.35">
      <c r="A322" s="368" t="str">
        <f>'Summary (READ FIRST)'!$B$8</f>
        <v>Supplier 1</v>
      </c>
      <c r="B322" s="367" t="str">
        <f>'Summary (READ FIRST)'!$B$11</f>
        <v>English</v>
      </c>
      <c r="C322" s="367" t="s">
        <v>44</v>
      </c>
      <c r="D322" s="367" t="s">
        <v>32</v>
      </c>
      <c r="E322" s="367" t="s">
        <v>20</v>
      </c>
      <c r="F322" s="367" t="s">
        <v>23</v>
      </c>
      <c r="G322" s="382">
        <f>'Audio Desc.'!AA21</f>
        <v>68</v>
      </c>
      <c r="H322" s="382">
        <f>'Audio Desc.'!AB21</f>
        <v>37</v>
      </c>
      <c r="I322" s="384">
        <f>'Audio Desc.'!AC21</f>
        <v>87</v>
      </c>
      <c r="J322" s="382">
        <f>'Audio Desc.'!$AE$21</f>
        <v>1</v>
      </c>
      <c r="K322" s="382">
        <f>'Audio Desc.'!$AF$21</f>
        <v>0.5</v>
      </c>
      <c r="L322" s="382" t="str">
        <f>'Audio Desc.'!$AH$21</f>
        <v>Workflow</v>
      </c>
      <c r="M322" s="407">
        <f>'Audio Desc.'!$AI$21</f>
        <v>0.15</v>
      </c>
      <c r="N322" s="391">
        <f>'Audio Desc.'!$AJ$21</f>
        <v>0</v>
      </c>
    </row>
    <row r="323" spans="1:14" x14ac:dyDescent="0.35">
      <c r="A323" s="371" t="str">
        <f>'Summary (READ FIRST)'!$B$8</f>
        <v>Supplier 1</v>
      </c>
      <c r="B323" s="366" t="str">
        <f>'Summary (READ FIRST)'!$B$11</f>
        <v>English</v>
      </c>
      <c r="C323" s="366" t="s">
        <v>44</v>
      </c>
      <c r="D323" s="366" t="s">
        <v>33</v>
      </c>
      <c r="E323" s="366" t="s">
        <v>16</v>
      </c>
      <c r="F323" s="366" t="s">
        <v>36</v>
      </c>
      <c r="G323" s="382">
        <f>'Audio Desc.'!E22</f>
        <v>48</v>
      </c>
      <c r="H323" s="382">
        <f>'Audio Desc.'!G22</f>
        <v>40</v>
      </c>
      <c r="I323" s="382"/>
      <c r="J323" s="382">
        <f>'Audio Desc.'!$AE$22</f>
        <v>1</v>
      </c>
      <c r="K323" s="382">
        <f>'Audio Desc.'!$AF$22</f>
        <v>0</v>
      </c>
      <c r="L323" s="382" t="str">
        <f>'Audio Desc.'!$AH$22</f>
        <v>Tools</v>
      </c>
      <c r="M323" s="407">
        <f>'Audio Desc.'!$AI$22</f>
        <v>0.1</v>
      </c>
      <c r="N323" s="391" t="str">
        <f>'Audio Desc.'!$AJ$22</f>
        <v>Note 4</v>
      </c>
    </row>
    <row r="324" spans="1:14" x14ac:dyDescent="0.35">
      <c r="A324" s="368" t="str">
        <f>'Summary (READ FIRST)'!$B$8</f>
        <v>Supplier 1</v>
      </c>
      <c r="B324" s="367" t="str">
        <f>'Summary (READ FIRST)'!$B$11</f>
        <v>English</v>
      </c>
      <c r="C324" s="367" t="s">
        <v>44</v>
      </c>
      <c r="D324" s="367" t="s">
        <v>33</v>
      </c>
      <c r="E324" s="367" t="s">
        <v>16</v>
      </c>
      <c r="F324" s="367" t="s">
        <v>37</v>
      </c>
      <c r="G324" s="382">
        <f>'Audio Desc.'!F22</f>
        <v>81</v>
      </c>
      <c r="H324" s="382">
        <f>'Audio Desc.'!H22</f>
        <v>38</v>
      </c>
      <c r="I324" s="382"/>
      <c r="J324" s="382">
        <f>'Audio Desc.'!$AE$22</f>
        <v>1</v>
      </c>
      <c r="K324" s="382">
        <f>'Audio Desc.'!$AF$22</f>
        <v>0</v>
      </c>
      <c r="L324" s="382" t="str">
        <f>'Audio Desc.'!$AH$22</f>
        <v>Tools</v>
      </c>
      <c r="M324" s="407">
        <f>'Audio Desc.'!$AI$22</f>
        <v>0.1</v>
      </c>
      <c r="N324" s="391" t="str">
        <f>'Audio Desc.'!$AJ$22</f>
        <v>Note 4</v>
      </c>
    </row>
    <row r="325" spans="1:14" x14ac:dyDescent="0.35">
      <c r="A325" s="368" t="str">
        <f>'Summary (READ FIRST)'!$B$8</f>
        <v>Supplier 1</v>
      </c>
      <c r="B325" s="367" t="str">
        <f>'Summary (READ FIRST)'!$B$11</f>
        <v>English</v>
      </c>
      <c r="C325" s="367" t="s">
        <v>44</v>
      </c>
      <c r="D325" s="367" t="s">
        <v>33</v>
      </c>
      <c r="E325" s="367" t="s">
        <v>16</v>
      </c>
      <c r="F325" s="367" t="s">
        <v>38</v>
      </c>
      <c r="G325" s="382">
        <f>'Audio Desc.'!J22</f>
        <v>74</v>
      </c>
      <c r="H325" s="382">
        <f>'Audio Desc.'!L22</f>
        <v>20</v>
      </c>
      <c r="I325" s="382"/>
      <c r="J325" s="382">
        <f>'Audio Desc.'!$AE$22</f>
        <v>1</v>
      </c>
      <c r="K325" s="382">
        <f>'Audio Desc.'!$AF$22</f>
        <v>0</v>
      </c>
      <c r="L325" s="382" t="str">
        <f>'Audio Desc.'!$AH$22</f>
        <v>Tools</v>
      </c>
      <c r="M325" s="407">
        <f>'Audio Desc.'!$AI$22</f>
        <v>0.1</v>
      </c>
      <c r="N325" s="391" t="str">
        <f>'Audio Desc.'!$AJ$22</f>
        <v>Note 4</v>
      </c>
    </row>
    <row r="326" spans="1:14" x14ac:dyDescent="0.35">
      <c r="A326" s="368" t="str">
        <f>'Summary (READ FIRST)'!$B$8</f>
        <v>Supplier 1</v>
      </c>
      <c r="B326" s="367" t="str">
        <f>'Summary (READ FIRST)'!$B$11</f>
        <v>English</v>
      </c>
      <c r="C326" s="367" t="s">
        <v>44</v>
      </c>
      <c r="D326" s="367" t="s">
        <v>33</v>
      </c>
      <c r="E326" s="367" t="s">
        <v>16</v>
      </c>
      <c r="F326" s="367" t="s">
        <v>39</v>
      </c>
      <c r="G326" s="382">
        <f>'Audio Desc.'!K22</f>
        <v>23</v>
      </c>
      <c r="H326" s="382">
        <f>'Audio Desc.'!M22</f>
        <v>50</v>
      </c>
      <c r="I326" s="382"/>
      <c r="J326" s="382">
        <f>'Audio Desc.'!$AE$22</f>
        <v>1</v>
      </c>
      <c r="K326" s="382">
        <f>'Audio Desc.'!$AF$22</f>
        <v>0</v>
      </c>
      <c r="L326" s="382" t="str">
        <f>'Audio Desc.'!$AH$22</f>
        <v>Tools</v>
      </c>
      <c r="M326" s="407">
        <f>'Audio Desc.'!$AI$22</f>
        <v>0.1</v>
      </c>
      <c r="N326" s="391" t="str">
        <f>'Audio Desc.'!$AJ$22</f>
        <v>Note 4</v>
      </c>
    </row>
    <row r="327" spans="1:14" x14ac:dyDescent="0.35">
      <c r="A327" s="368" t="str">
        <f>'Summary (READ FIRST)'!$B$8</f>
        <v>Supplier 1</v>
      </c>
      <c r="B327" s="367" t="str">
        <f>'Summary (READ FIRST)'!$B$11</f>
        <v>English</v>
      </c>
      <c r="C327" s="367" t="s">
        <v>44</v>
      </c>
      <c r="D327" s="367" t="s">
        <v>33</v>
      </c>
      <c r="E327" s="367" t="s">
        <v>16</v>
      </c>
      <c r="F327" s="367" t="s">
        <v>40</v>
      </c>
      <c r="G327" s="382">
        <f>'Audio Desc.'!O22</f>
        <v>22</v>
      </c>
      <c r="H327" s="382">
        <f>'Audio Desc.'!Q22</f>
        <v>64</v>
      </c>
      <c r="I327" s="382"/>
      <c r="J327" s="382">
        <f>'Audio Desc.'!$AE$22</f>
        <v>1</v>
      </c>
      <c r="K327" s="382">
        <f>'Audio Desc.'!$AF$22</f>
        <v>0</v>
      </c>
      <c r="L327" s="382" t="str">
        <f>'Audio Desc.'!$AH$22</f>
        <v>Tools</v>
      </c>
      <c r="M327" s="407">
        <f>'Audio Desc.'!$AI$22</f>
        <v>0.1</v>
      </c>
      <c r="N327" s="391" t="str">
        <f>'Audio Desc.'!$AJ$22</f>
        <v>Note 4</v>
      </c>
    </row>
    <row r="328" spans="1:14" x14ac:dyDescent="0.35">
      <c r="A328" s="368" t="str">
        <f>'Summary (READ FIRST)'!$B$8</f>
        <v>Supplier 1</v>
      </c>
      <c r="B328" s="367" t="str">
        <f>'Summary (READ FIRST)'!$B$11</f>
        <v>English</v>
      </c>
      <c r="C328" s="367" t="s">
        <v>44</v>
      </c>
      <c r="D328" s="367" t="s">
        <v>33</v>
      </c>
      <c r="E328" s="367" t="s">
        <v>16</v>
      </c>
      <c r="F328" s="367" t="s">
        <v>41</v>
      </c>
      <c r="G328" s="382">
        <f>'Audio Desc.'!P22</f>
        <v>20</v>
      </c>
      <c r="H328" s="382">
        <f>'Audio Desc.'!R22</f>
        <v>35</v>
      </c>
      <c r="I328" s="382"/>
      <c r="J328" s="382">
        <f>'Audio Desc.'!$AE$22</f>
        <v>1</v>
      </c>
      <c r="K328" s="382">
        <f>'Audio Desc.'!$AF$22</f>
        <v>0</v>
      </c>
      <c r="L328" s="382" t="str">
        <f>'Audio Desc.'!$AH$22</f>
        <v>Tools</v>
      </c>
      <c r="M328" s="407">
        <f>'Audio Desc.'!$AI$22</f>
        <v>0.1</v>
      </c>
      <c r="N328" s="391" t="str">
        <f>'Audio Desc.'!$AJ$22</f>
        <v>Note 4</v>
      </c>
    </row>
    <row r="329" spans="1:14" x14ac:dyDescent="0.35">
      <c r="A329" s="368" t="str">
        <f>'Summary (READ FIRST)'!$B$8</f>
        <v>Supplier 1</v>
      </c>
      <c r="B329" s="367" t="str">
        <f>'Summary (READ FIRST)'!$B$11</f>
        <v>English</v>
      </c>
      <c r="C329" s="367" t="s">
        <v>44</v>
      </c>
      <c r="D329" s="367" t="s">
        <v>33</v>
      </c>
      <c r="E329" s="367" t="s">
        <v>20</v>
      </c>
      <c r="F329" s="367" t="s">
        <v>42</v>
      </c>
      <c r="G329" s="382">
        <f>'Audio Desc.'!T22</f>
        <v>18</v>
      </c>
      <c r="H329" s="382">
        <f>'Audio Desc.'!V22</f>
        <v>56</v>
      </c>
      <c r="I329" s="384">
        <f>'Audio Desc.'!X22</f>
        <v>95</v>
      </c>
      <c r="J329" s="382">
        <f>'Audio Desc.'!$AE$22</f>
        <v>1</v>
      </c>
      <c r="K329" s="382">
        <f>'Audio Desc.'!$AF$22</f>
        <v>0</v>
      </c>
      <c r="L329" s="382" t="str">
        <f>'Audio Desc.'!$AH$22</f>
        <v>Tools</v>
      </c>
      <c r="M329" s="407">
        <f>'Audio Desc.'!$AI$22</f>
        <v>0.1</v>
      </c>
      <c r="N329" s="391" t="str">
        <f>'Audio Desc.'!$AJ$22</f>
        <v>Note 4</v>
      </c>
    </row>
    <row r="330" spans="1:14" x14ac:dyDescent="0.35">
      <c r="A330" s="368" t="str">
        <f>'Summary (READ FIRST)'!$B$8</f>
        <v>Supplier 1</v>
      </c>
      <c r="B330" s="367" t="str">
        <f>'Summary (READ FIRST)'!$B$11</f>
        <v>English</v>
      </c>
      <c r="C330" s="367" t="s">
        <v>44</v>
      </c>
      <c r="D330" s="367" t="s">
        <v>33</v>
      </c>
      <c r="E330" s="367" t="s">
        <v>20</v>
      </c>
      <c r="F330" s="367" t="s">
        <v>43</v>
      </c>
      <c r="G330" s="382">
        <f>'Audio Desc.'!U22</f>
        <v>100</v>
      </c>
      <c r="H330" s="382">
        <f>'Audio Desc.'!W22</f>
        <v>92</v>
      </c>
      <c r="I330" s="384">
        <f>'Audio Desc.'!Y22</f>
        <v>44</v>
      </c>
      <c r="J330" s="382">
        <f>'Audio Desc.'!$AE$22</f>
        <v>1</v>
      </c>
      <c r="K330" s="382">
        <f>'Audio Desc.'!$AF$22</f>
        <v>0</v>
      </c>
      <c r="L330" s="382" t="str">
        <f>'Audio Desc.'!$AH$22</f>
        <v>Tools</v>
      </c>
      <c r="M330" s="407">
        <f>'Audio Desc.'!$AI$22</f>
        <v>0.1</v>
      </c>
      <c r="N330" s="391" t="str">
        <f>'Audio Desc.'!$AJ$22</f>
        <v>Note 4</v>
      </c>
    </row>
    <row r="331" spans="1:14" x14ac:dyDescent="0.35">
      <c r="A331" s="368" t="str">
        <f>'Summary (READ FIRST)'!$B$8</f>
        <v>Supplier 1</v>
      </c>
      <c r="B331" s="367" t="str">
        <f>'Summary (READ FIRST)'!$B$11</f>
        <v>English</v>
      </c>
      <c r="C331" s="367" t="s">
        <v>44</v>
      </c>
      <c r="D331" s="367" t="s">
        <v>33</v>
      </c>
      <c r="E331" s="367" t="s">
        <v>20</v>
      </c>
      <c r="F331" s="367" t="s">
        <v>23</v>
      </c>
      <c r="G331" s="382">
        <f>'Audio Desc.'!AA22</f>
        <v>55</v>
      </c>
      <c r="H331" s="382">
        <f>'Audio Desc.'!AB22</f>
        <v>52</v>
      </c>
      <c r="I331" s="384">
        <f>'Audio Desc.'!AC22</f>
        <v>71</v>
      </c>
      <c r="J331" s="382">
        <f>'Audio Desc.'!$AE$22</f>
        <v>1</v>
      </c>
      <c r="K331" s="382">
        <f>'Audio Desc.'!$AF$22</f>
        <v>0</v>
      </c>
      <c r="L331" s="382" t="str">
        <f>'Audio Desc.'!$AH$22</f>
        <v>Tools</v>
      </c>
      <c r="M331" s="407">
        <f>'Audio Desc.'!$AI$22</f>
        <v>0.1</v>
      </c>
      <c r="N331" s="391" t="str">
        <f>'Audio Desc.'!$AJ$22</f>
        <v>Note 4</v>
      </c>
    </row>
    <row r="332" spans="1:14" x14ac:dyDescent="0.35">
      <c r="A332" s="371" t="str">
        <f>'Summary (READ FIRST)'!$B$8</f>
        <v>Supplier 1</v>
      </c>
      <c r="B332" s="366" t="str">
        <f>'Summary (READ FIRST)'!$B$11</f>
        <v>English</v>
      </c>
      <c r="C332" s="366" t="s">
        <v>45</v>
      </c>
      <c r="D332" s="366" t="s">
        <v>15</v>
      </c>
      <c r="E332" s="366" t="s">
        <v>16</v>
      </c>
      <c r="F332" s="366" t="s">
        <v>46</v>
      </c>
      <c r="G332" s="382">
        <f>VO!E12</f>
        <v>41</v>
      </c>
      <c r="H332" s="382">
        <f>VO!G12</f>
        <v>29</v>
      </c>
      <c r="I332" s="382"/>
      <c r="J332" s="382">
        <f>VO!$AE$12</f>
        <v>1</v>
      </c>
      <c r="K332" s="382">
        <f>VO!$AF$12</f>
        <v>0.5</v>
      </c>
      <c r="L332" s="382" t="str">
        <f>VO!$AH$12</f>
        <v>Tools</v>
      </c>
      <c r="M332" s="407">
        <f>VO!$AI$12</f>
        <v>0.15</v>
      </c>
      <c r="N332" s="391" t="str">
        <f>VO!$AJ$12</f>
        <v>Note 5</v>
      </c>
    </row>
    <row r="333" spans="1:14" x14ac:dyDescent="0.35">
      <c r="A333" s="368" t="str">
        <f>'Summary (READ FIRST)'!$B$8</f>
        <v>Supplier 1</v>
      </c>
      <c r="B333" s="367" t="str">
        <f>'Summary (READ FIRST)'!$B$11</f>
        <v>English</v>
      </c>
      <c r="C333" s="367" t="s">
        <v>45</v>
      </c>
      <c r="D333" s="367" t="s">
        <v>15</v>
      </c>
      <c r="E333" s="367" t="s">
        <v>16</v>
      </c>
      <c r="F333" s="367" t="s">
        <v>47</v>
      </c>
      <c r="G333" s="382">
        <f>VO!F12</f>
        <v>57</v>
      </c>
      <c r="H333" s="382">
        <f>VO!H12</f>
        <v>40</v>
      </c>
      <c r="I333" s="382"/>
      <c r="J333" s="382">
        <f>VO!$AE$12</f>
        <v>1</v>
      </c>
      <c r="K333" s="382">
        <f>VO!$AF$12</f>
        <v>0.5</v>
      </c>
      <c r="L333" s="382" t="str">
        <f>VO!$AH$12</f>
        <v>Tools</v>
      </c>
      <c r="M333" s="407">
        <f>VO!$AI$12</f>
        <v>0.15</v>
      </c>
      <c r="N333" s="391" t="str">
        <f>VO!$AJ$12</f>
        <v>Note 5</v>
      </c>
    </row>
    <row r="334" spans="1:14" x14ac:dyDescent="0.35">
      <c r="A334" s="368" t="str">
        <f>'Summary (READ FIRST)'!$B$8</f>
        <v>Supplier 1</v>
      </c>
      <c r="B334" s="367" t="str">
        <f>'Summary (READ FIRST)'!$B$11</f>
        <v>English</v>
      </c>
      <c r="C334" s="367" t="s">
        <v>45</v>
      </c>
      <c r="D334" s="367" t="s">
        <v>15</v>
      </c>
      <c r="E334" s="367" t="s">
        <v>16</v>
      </c>
      <c r="F334" s="367" t="s">
        <v>38</v>
      </c>
      <c r="G334" s="382">
        <f>VO!J12</f>
        <v>59</v>
      </c>
      <c r="H334" s="382">
        <f>VO!L12</f>
        <v>44</v>
      </c>
      <c r="I334" s="382"/>
      <c r="J334" s="382">
        <f>VO!$AE$12</f>
        <v>1</v>
      </c>
      <c r="K334" s="382">
        <f>VO!$AF$12</f>
        <v>0.5</v>
      </c>
      <c r="L334" s="382" t="str">
        <f>VO!$AH$12</f>
        <v>Tools</v>
      </c>
      <c r="M334" s="407">
        <f>VO!$AI$12</f>
        <v>0.15</v>
      </c>
      <c r="N334" s="391" t="str">
        <f>VO!$AJ$12</f>
        <v>Note 5</v>
      </c>
    </row>
    <row r="335" spans="1:14" x14ac:dyDescent="0.35">
      <c r="A335" s="368" t="str">
        <f>'Summary (READ FIRST)'!$B$8</f>
        <v>Supplier 1</v>
      </c>
      <c r="B335" s="367" t="str">
        <f>'Summary (READ FIRST)'!$B$11</f>
        <v>English</v>
      </c>
      <c r="C335" s="367" t="s">
        <v>45</v>
      </c>
      <c r="D335" s="367" t="s">
        <v>15</v>
      </c>
      <c r="E335" s="367" t="s">
        <v>16</v>
      </c>
      <c r="F335" s="367" t="s">
        <v>39</v>
      </c>
      <c r="G335" s="382">
        <f>VO!K12</f>
        <v>60</v>
      </c>
      <c r="H335" s="382">
        <f>VO!M12</f>
        <v>30</v>
      </c>
      <c r="I335" s="382"/>
      <c r="J335" s="382">
        <f>VO!$AE$12</f>
        <v>1</v>
      </c>
      <c r="K335" s="382">
        <f>VO!$AF$12</f>
        <v>0.5</v>
      </c>
      <c r="L335" s="382" t="str">
        <f>VO!$AH$12</f>
        <v>Tools</v>
      </c>
      <c r="M335" s="407">
        <f>VO!$AI$12</f>
        <v>0.15</v>
      </c>
      <c r="N335" s="391" t="str">
        <f>VO!$AJ$12</f>
        <v>Note 5</v>
      </c>
    </row>
    <row r="336" spans="1:14" x14ac:dyDescent="0.35">
      <c r="A336" s="368" t="str">
        <f>'Summary (READ FIRST)'!$B$8</f>
        <v>Supplier 1</v>
      </c>
      <c r="B336" s="367" t="str">
        <f>'Summary (READ FIRST)'!$B$11</f>
        <v>English</v>
      </c>
      <c r="C336" s="367" t="s">
        <v>45</v>
      </c>
      <c r="D336" s="367" t="s">
        <v>15</v>
      </c>
      <c r="E336" s="367" t="s">
        <v>16</v>
      </c>
      <c r="F336" s="367" t="s">
        <v>40</v>
      </c>
      <c r="G336" s="382">
        <f>VO!O12</f>
        <v>42</v>
      </c>
      <c r="H336" s="382">
        <f>VO!Q12</f>
        <v>34</v>
      </c>
      <c r="I336" s="382"/>
      <c r="J336" s="382">
        <f>VO!$AE$12</f>
        <v>1</v>
      </c>
      <c r="K336" s="382">
        <f>VO!$AF$12</f>
        <v>0.5</v>
      </c>
      <c r="L336" s="382" t="str">
        <f>VO!$AH$12</f>
        <v>Tools</v>
      </c>
      <c r="M336" s="407">
        <f>VO!$AI$12</f>
        <v>0.15</v>
      </c>
      <c r="N336" s="391" t="str">
        <f>VO!$AJ$12</f>
        <v>Note 5</v>
      </c>
    </row>
    <row r="337" spans="1:14" x14ac:dyDescent="0.35">
      <c r="A337" s="368" t="str">
        <f>'Summary (READ FIRST)'!$B$8</f>
        <v>Supplier 1</v>
      </c>
      <c r="B337" s="367" t="str">
        <f>'Summary (READ FIRST)'!$B$11</f>
        <v>English</v>
      </c>
      <c r="C337" s="367" t="s">
        <v>45</v>
      </c>
      <c r="D337" s="367" t="s">
        <v>15</v>
      </c>
      <c r="E337" s="367" t="s">
        <v>16</v>
      </c>
      <c r="F337" s="367" t="s">
        <v>41</v>
      </c>
      <c r="G337" s="382">
        <f>VO!P12</f>
        <v>45</v>
      </c>
      <c r="H337" s="382">
        <f>VO!R12</f>
        <v>46</v>
      </c>
      <c r="I337" s="382"/>
      <c r="J337" s="382">
        <f>VO!$AE$12</f>
        <v>1</v>
      </c>
      <c r="K337" s="382">
        <f>VO!$AF$12</f>
        <v>0.5</v>
      </c>
      <c r="L337" s="382" t="str">
        <f>VO!$AH$12</f>
        <v>Tools</v>
      </c>
      <c r="M337" s="407">
        <f>VO!$AI$12</f>
        <v>0.15</v>
      </c>
      <c r="N337" s="391" t="str">
        <f>VO!$AJ$12</f>
        <v>Note 5</v>
      </c>
    </row>
    <row r="338" spans="1:14" x14ac:dyDescent="0.35">
      <c r="A338" s="368" t="str">
        <f>'Summary (READ FIRST)'!$B$8</f>
        <v>Supplier 1</v>
      </c>
      <c r="B338" s="367" t="str">
        <f>'Summary (READ FIRST)'!$B$11</f>
        <v>English</v>
      </c>
      <c r="C338" s="367" t="s">
        <v>45</v>
      </c>
      <c r="D338" s="367" t="s">
        <v>15</v>
      </c>
      <c r="E338" s="367" t="s">
        <v>20</v>
      </c>
      <c r="F338" s="367" t="s">
        <v>42</v>
      </c>
      <c r="G338" s="382">
        <f>VO!T12</f>
        <v>41</v>
      </c>
      <c r="H338" s="382">
        <f>VO!V12</f>
        <v>24</v>
      </c>
      <c r="I338" s="384">
        <f>VO!X12</f>
        <v>57</v>
      </c>
      <c r="J338" s="382">
        <f>VO!$AE$12</f>
        <v>1</v>
      </c>
      <c r="K338" s="382">
        <f>VO!$AF$12</f>
        <v>0.5</v>
      </c>
      <c r="L338" s="382" t="str">
        <f>VO!$AH$12</f>
        <v>Tools</v>
      </c>
      <c r="M338" s="407">
        <f>VO!$AI$12</f>
        <v>0.15</v>
      </c>
      <c r="N338" s="391" t="str">
        <f>VO!$AJ$12</f>
        <v>Note 5</v>
      </c>
    </row>
    <row r="339" spans="1:14" x14ac:dyDescent="0.35">
      <c r="A339" s="368" t="str">
        <f>'Summary (READ FIRST)'!$B$8</f>
        <v>Supplier 1</v>
      </c>
      <c r="B339" s="367" t="str">
        <f>'Summary (READ FIRST)'!$B$11</f>
        <v>English</v>
      </c>
      <c r="C339" s="367" t="s">
        <v>45</v>
      </c>
      <c r="D339" s="367" t="s">
        <v>15</v>
      </c>
      <c r="E339" s="367" t="s">
        <v>20</v>
      </c>
      <c r="F339" s="367" t="s">
        <v>43</v>
      </c>
      <c r="G339" s="382">
        <f>VO!U12</f>
        <v>60</v>
      </c>
      <c r="H339" s="382">
        <f>VO!W12</f>
        <v>30</v>
      </c>
      <c r="I339" s="384">
        <f>VO!Y12</f>
        <v>45</v>
      </c>
      <c r="J339" s="382">
        <f>VO!$AE$12</f>
        <v>1</v>
      </c>
      <c r="K339" s="382">
        <f>VO!$AF$12</f>
        <v>0.5</v>
      </c>
      <c r="L339" s="382" t="str">
        <f>VO!$AH$12</f>
        <v>Tools</v>
      </c>
      <c r="M339" s="407">
        <f>VO!$AI$12</f>
        <v>0.15</v>
      </c>
      <c r="N339" s="391" t="str">
        <f>VO!$AJ$12</f>
        <v>Note 5</v>
      </c>
    </row>
    <row r="340" spans="1:14" x14ac:dyDescent="0.35">
      <c r="A340" s="368" t="str">
        <f>'Summary (READ FIRST)'!$B$8</f>
        <v>Supplier 1</v>
      </c>
      <c r="B340" s="367" t="str">
        <f>'Summary (READ FIRST)'!$B$11</f>
        <v>English</v>
      </c>
      <c r="C340" s="367" t="s">
        <v>45</v>
      </c>
      <c r="D340" s="367" t="s">
        <v>15</v>
      </c>
      <c r="E340" s="367" t="s">
        <v>20</v>
      </c>
      <c r="F340" s="367" t="s">
        <v>23</v>
      </c>
      <c r="G340" s="382">
        <f>VO!AA12</f>
        <v>67</v>
      </c>
      <c r="H340" s="382">
        <f>VO!AB12</f>
        <v>43</v>
      </c>
      <c r="I340" s="384">
        <f>VO!AC12</f>
        <v>39</v>
      </c>
      <c r="J340" s="382">
        <f>VO!$AE$12</f>
        <v>1</v>
      </c>
      <c r="K340" s="382">
        <f>VO!$AF$12</f>
        <v>0.5</v>
      </c>
      <c r="L340" s="382" t="str">
        <f>VO!$AH$12</f>
        <v>Tools</v>
      </c>
      <c r="M340" s="407">
        <f>VO!$AI$12</f>
        <v>0.15</v>
      </c>
      <c r="N340" s="391" t="str">
        <f>VO!$AJ$12</f>
        <v>Note 5</v>
      </c>
    </row>
    <row r="341" spans="1:14" x14ac:dyDescent="0.35">
      <c r="A341" s="372" t="str">
        <f>'Summary (READ FIRST)'!$B$8</f>
        <v>Supplier 1</v>
      </c>
      <c r="B341" s="373" t="str">
        <f>'Summary (READ FIRST)'!$B$11</f>
        <v>English</v>
      </c>
      <c r="C341" s="373" t="s">
        <v>45</v>
      </c>
      <c r="D341" s="373" t="s">
        <v>24</v>
      </c>
      <c r="E341" s="373" t="s">
        <v>16</v>
      </c>
      <c r="F341" s="373" t="s">
        <v>46</v>
      </c>
      <c r="G341" s="382">
        <f>VO!E13</f>
        <v>41</v>
      </c>
      <c r="H341" s="382">
        <f>VO!G13</f>
        <v>0</v>
      </c>
      <c r="I341" s="382"/>
      <c r="J341" s="382">
        <f>VO!$AE$13</f>
        <v>1</v>
      </c>
      <c r="K341" s="382">
        <f>VO!$AF$13</f>
        <v>0.5</v>
      </c>
      <c r="L341" s="382" t="str">
        <f>VO!$AH$13</f>
        <v>Workflow</v>
      </c>
      <c r="M341" s="407">
        <f>VO!$AI$13</f>
        <v>0.1</v>
      </c>
      <c r="N341" s="391" t="str">
        <f>VO!$AJ$13</f>
        <v>Note 5</v>
      </c>
    </row>
    <row r="342" spans="1:14" x14ac:dyDescent="0.35">
      <c r="A342" s="374" t="str">
        <f>'Summary (READ FIRST)'!$B$8</f>
        <v>Supplier 1</v>
      </c>
      <c r="B342" s="375" t="str">
        <f>'Summary (READ FIRST)'!$B$11</f>
        <v>English</v>
      </c>
      <c r="C342" s="375" t="s">
        <v>45</v>
      </c>
      <c r="D342" s="375" t="s">
        <v>24</v>
      </c>
      <c r="E342" s="375" t="s">
        <v>16</v>
      </c>
      <c r="F342" s="375" t="s">
        <v>47</v>
      </c>
      <c r="G342" s="382">
        <f>VO!F13</f>
        <v>54</v>
      </c>
      <c r="H342" s="382">
        <f>VO!H13</f>
        <v>0</v>
      </c>
      <c r="I342" s="382"/>
      <c r="J342" s="382">
        <f>VO!$AE$13</f>
        <v>1</v>
      </c>
      <c r="K342" s="382">
        <f>VO!$AF$13</f>
        <v>0.5</v>
      </c>
      <c r="L342" s="382" t="str">
        <f>VO!$AH$13</f>
        <v>Workflow</v>
      </c>
      <c r="M342" s="407">
        <f>VO!$AI$13</f>
        <v>0.1</v>
      </c>
      <c r="N342" s="391" t="str">
        <f>VO!$AJ$13</f>
        <v>Note 5</v>
      </c>
    </row>
    <row r="343" spans="1:14" x14ac:dyDescent="0.35">
      <c r="A343" s="374" t="str">
        <f>'Summary (READ FIRST)'!$B$8</f>
        <v>Supplier 1</v>
      </c>
      <c r="B343" s="375" t="str">
        <f>'Summary (READ FIRST)'!$B$11</f>
        <v>English</v>
      </c>
      <c r="C343" s="375" t="s">
        <v>45</v>
      </c>
      <c r="D343" s="375" t="s">
        <v>24</v>
      </c>
      <c r="E343" s="375" t="s">
        <v>16</v>
      </c>
      <c r="F343" s="375" t="s">
        <v>38</v>
      </c>
      <c r="G343" s="382">
        <f>VO!J13</f>
        <v>0</v>
      </c>
      <c r="H343" s="382">
        <f>VO!L13</f>
        <v>0</v>
      </c>
      <c r="I343" s="382"/>
      <c r="J343" s="382">
        <f>VO!$AE$13</f>
        <v>1</v>
      </c>
      <c r="K343" s="382">
        <f>VO!$AF$13</f>
        <v>0.5</v>
      </c>
      <c r="L343" s="382" t="str">
        <f>VO!$AH$13</f>
        <v>Workflow</v>
      </c>
      <c r="M343" s="407">
        <f>VO!$AI$13</f>
        <v>0.1</v>
      </c>
      <c r="N343" s="391" t="str">
        <f>VO!$AJ$13</f>
        <v>Note 5</v>
      </c>
    </row>
    <row r="344" spans="1:14" x14ac:dyDescent="0.35">
      <c r="A344" s="374" t="str">
        <f>'Summary (READ FIRST)'!$B$8</f>
        <v>Supplier 1</v>
      </c>
      <c r="B344" s="375" t="str">
        <f>'Summary (READ FIRST)'!$B$11</f>
        <v>English</v>
      </c>
      <c r="C344" s="375" t="s">
        <v>45</v>
      </c>
      <c r="D344" s="375" t="s">
        <v>24</v>
      </c>
      <c r="E344" s="375" t="s">
        <v>16</v>
      </c>
      <c r="F344" s="375" t="s">
        <v>39</v>
      </c>
      <c r="G344" s="382">
        <f>VO!K13</f>
        <v>47</v>
      </c>
      <c r="H344" s="382">
        <f>VO!M13</f>
        <v>53</v>
      </c>
      <c r="I344" s="382"/>
      <c r="J344" s="382">
        <f>VO!$AE$13</f>
        <v>1</v>
      </c>
      <c r="K344" s="382">
        <f>VO!$AF$13</f>
        <v>0.5</v>
      </c>
      <c r="L344" s="382" t="str">
        <f>VO!$AH$13</f>
        <v>Workflow</v>
      </c>
      <c r="M344" s="407">
        <f>VO!$AI$13</f>
        <v>0.1</v>
      </c>
      <c r="N344" s="391" t="str">
        <f>VO!$AJ$13</f>
        <v>Note 5</v>
      </c>
    </row>
    <row r="345" spans="1:14" x14ac:dyDescent="0.35">
      <c r="A345" s="374" t="str">
        <f>'Summary (READ FIRST)'!$B$8</f>
        <v>Supplier 1</v>
      </c>
      <c r="B345" s="375" t="str">
        <f>'Summary (READ FIRST)'!$B$11</f>
        <v>English</v>
      </c>
      <c r="C345" s="375" t="s">
        <v>45</v>
      </c>
      <c r="D345" s="375" t="s">
        <v>24</v>
      </c>
      <c r="E345" s="375" t="s">
        <v>16</v>
      </c>
      <c r="F345" s="375" t="s">
        <v>40</v>
      </c>
      <c r="G345" s="382">
        <f>VO!O13</f>
        <v>56</v>
      </c>
      <c r="H345" s="382">
        <f>VO!Q13</f>
        <v>0</v>
      </c>
      <c r="I345" s="382"/>
      <c r="J345" s="382">
        <f>VO!$AE$13</f>
        <v>1</v>
      </c>
      <c r="K345" s="382">
        <f>VO!$AF$13</f>
        <v>0.5</v>
      </c>
      <c r="L345" s="382" t="str">
        <f>VO!$AH$13</f>
        <v>Workflow</v>
      </c>
      <c r="M345" s="407">
        <f>VO!$AI$13</f>
        <v>0.1</v>
      </c>
      <c r="N345" s="391" t="str">
        <f>VO!$AJ$13</f>
        <v>Note 5</v>
      </c>
    </row>
    <row r="346" spans="1:14" x14ac:dyDescent="0.35">
      <c r="A346" s="374" t="str">
        <f>'Summary (READ FIRST)'!$B$8</f>
        <v>Supplier 1</v>
      </c>
      <c r="B346" s="375" t="str">
        <f>'Summary (READ FIRST)'!$B$11</f>
        <v>English</v>
      </c>
      <c r="C346" s="375" t="s">
        <v>45</v>
      </c>
      <c r="D346" s="375" t="s">
        <v>24</v>
      </c>
      <c r="E346" s="375" t="s">
        <v>16</v>
      </c>
      <c r="F346" s="375" t="s">
        <v>41</v>
      </c>
      <c r="G346" s="382">
        <f>VO!P13</f>
        <v>50</v>
      </c>
      <c r="H346" s="382">
        <f>VO!R13</f>
        <v>29</v>
      </c>
      <c r="I346" s="382"/>
      <c r="J346" s="382">
        <f>VO!$AE$13</f>
        <v>1</v>
      </c>
      <c r="K346" s="382">
        <f>VO!$AF$13</f>
        <v>0.5</v>
      </c>
      <c r="L346" s="382" t="str">
        <f>VO!$AH$13</f>
        <v>Workflow</v>
      </c>
      <c r="M346" s="407">
        <f>VO!$AI$13</f>
        <v>0.1</v>
      </c>
      <c r="N346" s="391" t="str">
        <f>VO!$AJ$13</f>
        <v>Note 5</v>
      </c>
    </row>
    <row r="347" spans="1:14" x14ac:dyDescent="0.35">
      <c r="A347" s="374" t="str">
        <f>'Summary (READ FIRST)'!$B$8</f>
        <v>Supplier 1</v>
      </c>
      <c r="B347" s="375" t="str">
        <f>'Summary (READ FIRST)'!$B$11</f>
        <v>English</v>
      </c>
      <c r="C347" s="375" t="s">
        <v>45</v>
      </c>
      <c r="D347" s="375" t="s">
        <v>24</v>
      </c>
      <c r="E347" s="375" t="s">
        <v>20</v>
      </c>
      <c r="F347" s="375" t="s">
        <v>42</v>
      </c>
      <c r="G347" s="382">
        <f>VO!T13</f>
        <v>48</v>
      </c>
      <c r="H347" s="382">
        <f>VO!V13</f>
        <v>40</v>
      </c>
      <c r="I347" s="384">
        <f>VO!X13</f>
        <v>78</v>
      </c>
      <c r="J347" s="382">
        <f>VO!$AE$13</f>
        <v>1</v>
      </c>
      <c r="K347" s="382">
        <f>VO!$AF$13</f>
        <v>0.5</v>
      </c>
      <c r="L347" s="382" t="str">
        <f>VO!$AH$13</f>
        <v>Workflow</v>
      </c>
      <c r="M347" s="407">
        <f>VO!$AI$13</f>
        <v>0.1</v>
      </c>
      <c r="N347" s="391" t="str">
        <f>VO!$AJ$13</f>
        <v>Note 5</v>
      </c>
    </row>
    <row r="348" spans="1:14" x14ac:dyDescent="0.35">
      <c r="A348" s="374" t="str">
        <f>'Summary (READ FIRST)'!$B$8</f>
        <v>Supplier 1</v>
      </c>
      <c r="B348" s="375" t="str">
        <f>'Summary (READ FIRST)'!$B$11</f>
        <v>English</v>
      </c>
      <c r="C348" s="375" t="s">
        <v>45</v>
      </c>
      <c r="D348" s="375" t="s">
        <v>24</v>
      </c>
      <c r="E348" s="375" t="s">
        <v>20</v>
      </c>
      <c r="F348" s="375" t="s">
        <v>43</v>
      </c>
      <c r="G348" s="382">
        <f>VO!U13</f>
        <v>41</v>
      </c>
      <c r="H348" s="382">
        <f>VO!W13</f>
        <v>34</v>
      </c>
      <c r="I348" s="384">
        <f>VO!Y13</f>
        <v>79</v>
      </c>
      <c r="J348" s="382">
        <f>VO!$AE$13</f>
        <v>1</v>
      </c>
      <c r="K348" s="382">
        <f>VO!$AF$13</f>
        <v>0.5</v>
      </c>
      <c r="L348" s="382" t="str">
        <f>VO!$AH$13</f>
        <v>Workflow</v>
      </c>
      <c r="M348" s="407">
        <f>VO!$AI$13</f>
        <v>0.1</v>
      </c>
      <c r="N348" s="391" t="str">
        <f>VO!$AJ$13</f>
        <v>Note 5</v>
      </c>
    </row>
    <row r="349" spans="1:14" x14ac:dyDescent="0.35">
      <c r="A349" s="376" t="str">
        <f>'Summary (READ FIRST)'!$B$8</f>
        <v>Supplier 1</v>
      </c>
      <c r="B349" s="377" t="str">
        <f>'Summary (READ FIRST)'!$B$11</f>
        <v>English</v>
      </c>
      <c r="C349" s="377" t="s">
        <v>45</v>
      </c>
      <c r="D349" s="377" t="s">
        <v>24</v>
      </c>
      <c r="E349" s="377" t="s">
        <v>20</v>
      </c>
      <c r="F349" s="377" t="s">
        <v>23</v>
      </c>
      <c r="G349" s="382">
        <f>VO!AA13</f>
        <v>0</v>
      </c>
      <c r="H349" s="382">
        <f>VO!AB13</f>
        <v>41</v>
      </c>
      <c r="I349" s="384">
        <f>VO!AC13</f>
        <v>73</v>
      </c>
      <c r="J349" s="382">
        <f>VO!$AE$13</f>
        <v>1</v>
      </c>
      <c r="K349" s="382">
        <f>VO!$AF$13</f>
        <v>0.5</v>
      </c>
      <c r="L349" s="382" t="str">
        <f>VO!$AH$13</f>
        <v>Workflow</v>
      </c>
      <c r="M349" s="407">
        <f>VO!$AI$13</f>
        <v>0.1</v>
      </c>
      <c r="N349" s="391" t="str">
        <f>VO!$AJ$13</f>
        <v>Note 5</v>
      </c>
    </row>
    <row r="350" spans="1:14" x14ac:dyDescent="0.35">
      <c r="A350" s="371" t="str">
        <f>'Summary (READ FIRST)'!$B$8</f>
        <v>Supplier 1</v>
      </c>
      <c r="B350" s="366" t="str">
        <f>'Summary (READ FIRST)'!$B$11</f>
        <v>English</v>
      </c>
      <c r="C350" s="366" t="s">
        <v>45</v>
      </c>
      <c r="D350" s="366" t="s">
        <v>25</v>
      </c>
      <c r="E350" s="366" t="s">
        <v>16</v>
      </c>
      <c r="F350" s="366" t="s">
        <v>46</v>
      </c>
      <c r="G350" s="382">
        <f>VO!E14</f>
        <v>47</v>
      </c>
      <c r="H350" s="382">
        <f>VO!G14</f>
        <v>56</v>
      </c>
      <c r="I350" s="382"/>
      <c r="J350" s="382">
        <f>VO!$AE$14</f>
        <v>1</v>
      </c>
      <c r="K350" s="382">
        <f>VO!$AF$14</f>
        <v>0.5</v>
      </c>
      <c r="L350" s="382">
        <f>VO!$AH$14</f>
        <v>0</v>
      </c>
      <c r="M350" s="407">
        <f>VO!$AI$14</f>
        <v>0.2</v>
      </c>
      <c r="N350" s="391" t="str">
        <f>VO!$AJ$14</f>
        <v>Note 5</v>
      </c>
    </row>
    <row r="351" spans="1:14" x14ac:dyDescent="0.35">
      <c r="A351" s="368" t="str">
        <f>'Summary (READ FIRST)'!$B$8</f>
        <v>Supplier 1</v>
      </c>
      <c r="B351" s="367" t="str">
        <f>'Summary (READ FIRST)'!$B$11</f>
        <v>English</v>
      </c>
      <c r="C351" s="367" t="s">
        <v>45</v>
      </c>
      <c r="D351" s="367" t="s">
        <v>25</v>
      </c>
      <c r="E351" s="367" t="s">
        <v>16</v>
      </c>
      <c r="F351" s="367" t="s">
        <v>47</v>
      </c>
      <c r="G351" s="382">
        <f>VO!F14</f>
        <v>54</v>
      </c>
      <c r="H351" s="382">
        <f>VO!H14</f>
        <v>20</v>
      </c>
      <c r="I351" s="382"/>
      <c r="J351" s="382">
        <f>VO!$AE$14</f>
        <v>1</v>
      </c>
      <c r="K351" s="382">
        <f>VO!$AF$14</f>
        <v>0.5</v>
      </c>
      <c r="L351" s="382">
        <f>VO!$AH$14</f>
        <v>0</v>
      </c>
      <c r="M351" s="407">
        <f>VO!$AI$14</f>
        <v>0.2</v>
      </c>
      <c r="N351" s="391" t="str">
        <f>VO!$AJ$14</f>
        <v>Note 5</v>
      </c>
    </row>
    <row r="352" spans="1:14" x14ac:dyDescent="0.35">
      <c r="A352" s="368" t="str">
        <f>'Summary (READ FIRST)'!$B$8</f>
        <v>Supplier 1</v>
      </c>
      <c r="B352" s="367" t="str">
        <f>'Summary (READ FIRST)'!$B$11</f>
        <v>English</v>
      </c>
      <c r="C352" s="367" t="s">
        <v>45</v>
      </c>
      <c r="D352" s="367" t="s">
        <v>25</v>
      </c>
      <c r="E352" s="367" t="s">
        <v>16</v>
      </c>
      <c r="F352" s="367" t="s">
        <v>38</v>
      </c>
      <c r="G352" s="382">
        <f>VO!J14</f>
        <v>43</v>
      </c>
      <c r="H352" s="382">
        <f>VO!L14</f>
        <v>32</v>
      </c>
      <c r="I352" s="382"/>
      <c r="J352" s="382">
        <f>VO!$AE$14</f>
        <v>1</v>
      </c>
      <c r="K352" s="382">
        <f>VO!$AF$14</f>
        <v>0.5</v>
      </c>
      <c r="L352" s="382">
        <f>VO!$AH$14</f>
        <v>0</v>
      </c>
      <c r="M352" s="407">
        <f>VO!$AI$14</f>
        <v>0.2</v>
      </c>
      <c r="N352" s="391" t="str">
        <f>VO!$AJ$14</f>
        <v>Note 5</v>
      </c>
    </row>
    <row r="353" spans="1:14" x14ac:dyDescent="0.35">
      <c r="A353" s="368" t="str">
        <f>'Summary (READ FIRST)'!$B$8</f>
        <v>Supplier 1</v>
      </c>
      <c r="B353" s="367" t="str">
        <f>'Summary (READ FIRST)'!$B$11</f>
        <v>English</v>
      </c>
      <c r="C353" s="367" t="s">
        <v>45</v>
      </c>
      <c r="D353" s="367" t="s">
        <v>25</v>
      </c>
      <c r="E353" s="367" t="s">
        <v>16</v>
      </c>
      <c r="F353" s="367" t="s">
        <v>39</v>
      </c>
      <c r="G353" s="382">
        <f>VO!K14</f>
        <v>35</v>
      </c>
      <c r="H353" s="382">
        <f>VO!M14</f>
        <v>22</v>
      </c>
      <c r="I353" s="382"/>
      <c r="J353" s="382">
        <f>VO!$AE$14</f>
        <v>1</v>
      </c>
      <c r="K353" s="382">
        <f>VO!$AF$14</f>
        <v>0.5</v>
      </c>
      <c r="L353" s="382">
        <f>VO!$AH$14</f>
        <v>0</v>
      </c>
      <c r="M353" s="407">
        <f>VO!$AI$14</f>
        <v>0.2</v>
      </c>
      <c r="N353" s="391" t="str">
        <f>VO!$AJ$14</f>
        <v>Note 5</v>
      </c>
    </row>
    <row r="354" spans="1:14" x14ac:dyDescent="0.35">
      <c r="A354" s="368" t="str">
        <f>'Summary (READ FIRST)'!$B$8</f>
        <v>Supplier 1</v>
      </c>
      <c r="B354" s="367" t="str">
        <f>'Summary (READ FIRST)'!$B$11</f>
        <v>English</v>
      </c>
      <c r="C354" s="367" t="s">
        <v>45</v>
      </c>
      <c r="D354" s="367" t="s">
        <v>25</v>
      </c>
      <c r="E354" s="367" t="s">
        <v>16</v>
      </c>
      <c r="F354" s="367" t="s">
        <v>40</v>
      </c>
      <c r="G354" s="382">
        <f>VO!O14</f>
        <v>0</v>
      </c>
      <c r="H354" s="382">
        <f>VO!Q14</f>
        <v>49</v>
      </c>
      <c r="I354" s="382"/>
      <c r="J354" s="382">
        <f>VO!$AE$14</f>
        <v>1</v>
      </c>
      <c r="K354" s="382">
        <f>VO!$AF$14</f>
        <v>0.5</v>
      </c>
      <c r="L354" s="382">
        <f>VO!$AH$14</f>
        <v>0</v>
      </c>
      <c r="M354" s="407">
        <f>VO!$AI$14</f>
        <v>0.2</v>
      </c>
      <c r="N354" s="391" t="str">
        <f>VO!$AJ$14</f>
        <v>Note 5</v>
      </c>
    </row>
    <row r="355" spans="1:14" x14ac:dyDescent="0.35">
      <c r="A355" s="368" t="str">
        <f>'Summary (READ FIRST)'!$B$8</f>
        <v>Supplier 1</v>
      </c>
      <c r="B355" s="367" t="str">
        <f>'Summary (READ FIRST)'!$B$11</f>
        <v>English</v>
      </c>
      <c r="C355" s="367" t="s">
        <v>45</v>
      </c>
      <c r="D355" s="367" t="s">
        <v>25</v>
      </c>
      <c r="E355" s="367" t="s">
        <v>16</v>
      </c>
      <c r="F355" s="367" t="s">
        <v>41</v>
      </c>
      <c r="G355" s="382">
        <f>VO!P14</f>
        <v>71</v>
      </c>
      <c r="H355" s="382">
        <f>VO!R14</f>
        <v>20</v>
      </c>
      <c r="I355" s="382"/>
      <c r="J355" s="382">
        <f>VO!$AE$14</f>
        <v>1</v>
      </c>
      <c r="K355" s="382">
        <f>VO!$AF$14</f>
        <v>0.5</v>
      </c>
      <c r="L355" s="382">
        <f>VO!$AH$14</f>
        <v>0</v>
      </c>
      <c r="M355" s="407">
        <f>VO!$AI$14</f>
        <v>0.2</v>
      </c>
      <c r="N355" s="391" t="str">
        <f>VO!$AJ$14</f>
        <v>Note 5</v>
      </c>
    </row>
    <row r="356" spans="1:14" x14ac:dyDescent="0.35">
      <c r="A356" s="368" t="str">
        <f>'Summary (READ FIRST)'!$B$8</f>
        <v>Supplier 1</v>
      </c>
      <c r="B356" s="367" t="str">
        <f>'Summary (READ FIRST)'!$B$11</f>
        <v>English</v>
      </c>
      <c r="C356" s="367" t="s">
        <v>45</v>
      </c>
      <c r="D356" s="367" t="s">
        <v>25</v>
      </c>
      <c r="E356" s="367" t="s">
        <v>20</v>
      </c>
      <c r="F356" s="367" t="s">
        <v>42</v>
      </c>
      <c r="G356" s="382">
        <f>VO!T14</f>
        <v>0</v>
      </c>
      <c r="H356" s="382">
        <f>VO!V14</f>
        <v>0</v>
      </c>
      <c r="I356" s="384">
        <f>VO!X14</f>
        <v>0</v>
      </c>
      <c r="J356" s="382">
        <f>VO!$AE$14</f>
        <v>1</v>
      </c>
      <c r="K356" s="382">
        <f>VO!$AF$14</f>
        <v>0.5</v>
      </c>
      <c r="L356" s="382">
        <f>VO!$AH$14</f>
        <v>0</v>
      </c>
      <c r="M356" s="407">
        <f>VO!$AI$14</f>
        <v>0.2</v>
      </c>
      <c r="N356" s="391" t="str">
        <f>VO!$AJ$14</f>
        <v>Note 5</v>
      </c>
    </row>
    <row r="357" spans="1:14" x14ac:dyDescent="0.35">
      <c r="A357" s="368" t="str">
        <f>'Summary (READ FIRST)'!$B$8</f>
        <v>Supplier 1</v>
      </c>
      <c r="B357" s="367" t="str">
        <f>'Summary (READ FIRST)'!$B$11</f>
        <v>English</v>
      </c>
      <c r="C357" s="367" t="s">
        <v>45</v>
      </c>
      <c r="D357" s="367" t="s">
        <v>25</v>
      </c>
      <c r="E357" s="367" t="s">
        <v>20</v>
      </c>
      <c r="F357" s="367" t="s">
        <v>43</v>
      </c>
      <c r="G357" s="382">
        <f>VO!U14</f>
        <v>45</v>
      </c>
      <c r="H357" s="382">
        <f>VO!W14</f>
        <v>60</v>
      </c>
      <c r="I357" s="384">
        <f>VO!Y14</f>
        <v>0</v>
      </c>
      <c r="J357" s="382">
        <f>VO!$AE$14</f>
        <v>1</v>
      </c>
      <c r="K357" s="382">
        <f>VO!$AF$14</f>
        <v>0.5</v>
      </c>
      <c r="L357" s="382">
        <f>VO!$AH$14</f>
        <v>0</v>
      </c>
      <c r="M357" s="407">
        <f>VO!$AI$14</f>
        <v>0.2</v>
      </c>
      <c r="N357" s="391" t="str">
        <f>VO!$AJ$14</f>
        <v>Note 5</v>
      </c>
    </row>
    <row r="358" spans="1:14" x14ac:dyDescent="0.35">
      <c r="A358" s="368" t="str">
        <f>'Summary (READ FIRST)'!$B$8</f>
        <v>Supplier 1</v>
      </c>
      <c r="B358" s="367" t="str">
        <f>'Summary (READ FIRST)'!$B$11</f>
        <v>English</v>
      </c>
      <c r="C358" s="367" t="s">
        <v>45</v>
      </c>
      <c r="D358" s="367" t="s">
        <v>25</v>
      </c>
      <c r="E358" s="367" t="s">
        <v>20</v>
      </c>
      <c r="F358" s="367" t="s">
        <v>23</v>
      </c>
      <c r="G358" s="382">
        <f>VO!AA14</f>
        <v>30</v>
      </c>
      <c r="H358" s="382">
        <f>VO!AB14</f>
        <v>0</v>
      </c>
      <c r="I358" s="384">
        <f>VO!AC14</f>
        <v>73</v>
      </c>
      <c r="J358" s="382">
        <f>VO!$AE$14</f>
        <v>1</v>
      </c>
      <c r="K358" s="382">
        <f>VO!$AF$14</f>
        <v>0.5</v>
      </c>
      <c r="L358" s="382">
        <f>VO!$AH$14</f>
        <v>0</v>
      </c>
      <c r="M358" s="407">
        <f>VO!$AI$14</f>
        <v>0.2</v>
      </c>
      <c r="N358" s="391" t="str">
        <f>VO!$AJ$14</f>
        <v>Note 5</v>
      </c>
    </row>
    <row r="359" spans="1:14" x14ac:dyDescent="0.35">
      <c r="A359" s="371" t="str">
        <f>'Summary (READ FIRST)'!$B$8</f>
        <v>Supplier 1</v>
      </c>
      <c r="B359" s="366" t="str">
        <f>'Summary (READ FIRST)'!$B$11</f>
        <v>English</v>
      </c>
      <c r="C359" s="366" t="s">
        <v>45</v>
      </c>
      <c r="D359" s="366" t="s">
        <v>26</v>
      </c>
      <c r="E359" s="366" t="s">
        <v>16</v>
      </c>
      <c r="F359" s="366" t="s">
        <v>46</v>
      </c>
      <c r="G359" s="382">
        <f>VO!E15</f>
        <v>53</v>
      </c>
      <c r="H359" s="382">
        <f>VO!G15</f>
        <v>59</v>
      </c>
      <c r="I359" s="382"/>
      <c r="J359" s="382">
        <f>VO!$AE$15</f>
        <v>0</v>
      </c>
      <c r="K359" s="382">
        <f>VO!$AF$15</f>
        <v>0</v>
      </c>
      <c r="L359" s="382" t="str">
        <f>VO!$AH$15</f>
        <v>Tools</v>
      </c>
      <c r="M359" s="407">
        <f>VO!$AI$15</f>
        <v>0.05</v>
      </c>
      <c r="N359" s="391">
        <f>VO!$AJ$15</f>
        <v>0</v>
      </c>
    </row>
    <row r="360" spans="1:14" x14ac:dyDescent="0.35">
      <c r="A360" s="368" t="str">
        <f>'Summary (READ FIRST)'!$B$8</f>
        <v>Supplier 1</v>
      </c>
      <c r="B360" s="367" t="str">
        <f>'Summary (READ FIRST)'!$B$11</f>
        <v>English</v>
      </c>
      <c r="C360" s="367" t="s">
        <v>45</v>
      </c>
      <c r="D360" s="367" t="s">
        <v>26</v>
      </c>
      <c r="E360" s="367" t="s">
        <v>16</v>
      </c>
      <c r="F360" s="367" t="s">
        <v>47</v>
      </c>
      <c r="G360" s="382">
        <f>VO!F15</f>
        <v>37</v>
      </c>
      <c r="H360" s="382">
        <f>VO!H15</f>
        <v>27</v>
      </c>
      <c r="I360" s="382"/>
      <c r="J360" s="382">
        <f>VO!$AE$15</f>
        <v>0</v>
      </c>
      <c r="K360" s="382">
        <f>VO!$AF$15</f>
        <v>0</v>
      </c>
      <c r="L360" s="382" t="str">
        <f>VO!$AH$15</f>
        <v>Tools</v>
      </c>
      <c r="M360" s="407">
        <f>VO!$AI$15</f>
        <v>0.05</v>
      </c>
      <c r="N360" s="391">
        <f>VO!$AJ$15</f>
        <v>0</v>
      </c>
    </row>
    <row r="361" spans="1:14" x14ac:dyDescent="0.35">
      <c r="A361" s="368" t="str">
        <f>'Summary (READ FIRST)'!$B$8</f>
        <v>Supplier 1</v>
      </c>
      <c r="B361" s="367" t="str">
        <f>'Summary (READ FIRST)'!$B$11</f>
        <v>English</v>
      </c>
      <c r="C361" s="367" t="s">
        <v>45</v>
      </c>
      <c r="D361" s="367" t="s">
        <v>26</v>
      </c>
      <c r="E361" s="367" t="s">
        <v>16</v>
      </c>
      <c r="F361" s="367" t="s">
        <v>38</v>
      </c>
      <c r="G361" s="382">
        <f>VO!J15</f>
        <v>37</v>
      </c>
      <c r="H361" s="382">
        <f>VO!L15</f>
        <v>34</v>
      </c>
      <c r="I361" s="382"/>
      <c r="J361" s="382">
        <f>VO!$AE$15</f>
        <v>0</v>
      </c>
      <c r="K361" s="382">
        <f>VO!$AF$15</f>
        <v>0</v>
      </c>
      <c r="L361" s="382" t="str">
        <f>VO!$AH$15</f>
        <v>Tools</v>
      </c>
      <c r="M361" s="407">
        <f>VO!$AI$15</f>
        <v>0.05</v>
      </c>
      <c r="N361" s="391">
        <f>VO!$AJ$15</f>
        <v>0</v>
      </c>
    </row>
    <row r="362" spans="1:14" x14ac:dyDescent="0.35">
      <c r="A362" s="368" t="str">
        <f>'Summary (READ FIRST)'!$B$8</f>
        <v>Supplier 1</v>
      </c>
      <c r="B362" s="367" t="str">
        <f>'Summary (READ FIRST)'!$B$11</f>
        <v>English</v>
      </c>
      <c r="C362" s="367" t="s">
        <v>45</v>
      </c>
      <c r="D362" s="367" t="s">
        <v>26</v>
      </c>
      <c r="E362" s="367" t="s">
        <v>16</v>
      </c>
      <c r="F362" s="367" t="s">
        <v>39</v>
      </c>
      <c r="G362" s="382">
        <f>VO!K15</f>
        <v>0</v>
      </c>
      <c r="H362" s="382">
        <f>VO!M15</f>
        <v>46</v>
      </c>
      <c r="I362" s="382"/>
      <c r="J362" s="382">
        <f>VO!$AE$15</f>
        <v>0</v>
      </c>
      <c r="K362" s="382">
        <f>VO!$AF$15</f>
        <v>0</v>
      </c>
      <c r="L362" s="382" t="str">
        <f>VO!$AH$15</f>
        <v>Tools</v>
      </c>
      <c r="M362" s="407">
        <f>VO!$AI$15</f>
        <v>0.05</v>
      </c>
      <c r="N362" s="391">
        <f>VO!$AJ$15</f>
        <v>0</v>
      </c>
    </row>
    <row r="363" spans="1:14" x14ac:dyDescent="0.35">
      <c r="A363" s="368" t="str">
        <f>'Summary (READ FIRST)'!$B$8</f>
        <v>Supplier 1</v>
      </c>
      <c r="B363" s="367" t="str">
        <f>'Summary (READ FIRST)'!$B$11</f>
        <v>English</v>
      </c>
      <c r="C363" s="367" t="s">
        <v>45</v>
      </c>
      <c r="D363" s="367" t="s">
        <v>26</v>
      </c>
      <c r="E363" s="367" t="s">
        <v>16</v>
      </c>
      <c r="F363" s="367" t="s">
        <v>40</v>
      </c>
      <c r="G363" s="382">
        <f>VO!O15</f>
        <v>71</v>
      </c>
      <c r="H363" s="382">
        <f>VO!Q15</f>
        <v>53</v>
      </c>
      <c r="I363" s="382"/>
      <c r="J363" s="382">
        <f>VO!$AE$15</f>
        <v>0</v>
      </c>
      <c r="K363" s="382">
        <f>VO!$AF$15</f>
        <v>0</v>
      </c>
      <c r="L363" s="382" t="str">
        <f>VO!$AH$15</f>
        <v>Tools</v>
      </c>
      <c r="M363" s="407">
        <f>VO!$AI$15</f>
        <v>0.05</v>
      </c>
      <c r="N363" s="391">
        <f>VO!$AJ$15</f>
        <v>0</v>
      </c>
    </row>
    <row r="364" spans="1:14" x14ac:dyDescent="0.35">
      <c r="A364" s="368" t="str">
        <f>'Summary (READ FIRST)'!$B$8</f>
        <v>Supplier 1</v>
      </c>
      <c r="B364" s="367" t="str">
        <f>'Summary (READ FIRST)'!$B$11</f>
        <v>English</v>
      </c>
      <c r="C364" s="367" t="s">
        <v>45</v>
      </c>
      <c r="D364" s="367" t="s">
        <v>26</v>
      </c>
      <c r="E364" s="367" t="s">
        <v>16</v>
      </c>
      <c r="F364" s="367" t="s">
        <v>41</v>
      </c>
      <c r="G364" s="382">
        <f>VO!P15</f>
        <v>69</v>
      </c>
      <c r="H364" s="382">
        <f>VO!R15</f>
        <v>33</v>
      </c>
      <c r="I364" s="382"/>
      <c r="J364" s="382">
        <f>VO!$AE$15</f>
        <v>0</v>
      </c>
      <c r="K364" s="382">
        <f>VO!$AF$15</f>
        <v>0</v>
      </c>
      <c r="L364" s="382" t="str">
        <f>VO!$AH$15</f>
        <v>Tools</v>
      </c>
      <c r="M364" s="407">
        <f>VO!$AI$15</f>
        <v>0.05</v>
      </c>
      <c r="N364" s="391">
        <f>VO!$AJ$15</f>
        <v>0</v>
      </c>
    </row>
    <row r="365" spans="1:14" x14ac:dyDescent="0.35">
      <c r="A365" s="368" t="str">
        <f>'Summary (READ FIRST)'!$B$8</f>
        <v>Supplier 1</v>
      </c>
      <c r="B365" s="367" t="str">
        <f>'Summary (READ FIRST)'!$B$11</f>
        <v>English</v>
      </c>
      <c r="C365" s="367" t="s">
        <v>45</v>
      </c>
      <c r="D365" s="367" t="s">
        <v>26</v>
      </c>
      <c r="E365" s="367" t="s">
        <v>20</v>
      </c>
      <c r="F365" s="367" t="s">
        <v>42</v>
      </c>
      <c r="G365" s="382">
        <f>VO!T15</f>
        <v>55</v>
      </c>
      <c r="H365" s="382">
        <f>VO!V15</f>
        <v>23</v>
      </c>
      <c r="I365" s="384">
        <f>VO!X15</f>
        <v>66</v>
      </c>
      <c r="J365" s="382">
        <f>VO!$AE$15</f>
        <v>0</v>
      </c>
      <c r="K365" s="382">
        <f>VO!$AF$15</f>
        <v>0</v>
      </c>
      <c r="L365" s="382" t="str">
        <f>VO!$AH$15</f>
        <v>Tools</v>
      </c>
      <c r="M365" s="407">
        <f>VO!$AI$15</f>
        <v>0.05</v>
      </c>
      <c r="N365" s="391">
        <f>VO!$AJ$15</f>
        <v>0</v>
      </c>
    </row>
    <row r="366" spans="1:14" x14ac:dyDescent="0.35">
      <c r="A366" s="368" t="str">
        <f>'Summary (READ FIRST)'!$B$8</f>
        <v>Supplier 1</v>
      </c>
      <c r="B366" s="367" t="str">
        <f>'Summary (READ FIRST)'!$B$11</f>
        <v>English</v>
      </c>
      <c r="C366" s="367" t="s">
        <v>45</v>
      </c>
      <c r="D366" s="367" t="s">
        <v>26</v>
      </c>
      <c r="E366" s="367" t="s">
        <v>20</v>
      </c>
      <c r="F366" s="367" t="s">
        <v>43</v>
      </c>
      <c r="G366" s="382">
        <f>VO!U15</f>
        <v>0</v>
      </c>
      <c r="H366" s="382">
        <f>VO!W15</f>
        <v>39</v>
      </c>
      <c r="I366" s="384">
        <f>VO!Y15</f>
        <v>36</v>
      </c>
      <c r="J366" s="382">
        <f>VO!$AE$15</f>
        <v>0</v>
      </c>
      <c r="K366" s="382">
        <f>VO!$AF$15</f>
        <v>0</v>
      </c>
      <c r="L366" s="382" t="str">
        <f>VO!$AH$15</f>
        <v>Tools</v>
      </c>
      <c r="M366" s="407">
        <f>VO!$AI$15</f>
        <v>0.05</v>
      </c>
      <c r="N366" s="391">
        <f>VO!$AJ$15</f>
        <v>0</v>
      </c>
    </row>
    <row r="367" spans="1:14" x14ac:dyDescent="0.35">
      <c r="A367" s="368" t="str">
        <f>'Summary (READ FIRST)'!$B$8</f>
        <v>Supplier 1</v>
      </c>
      <c r="B367" s="367" t="str">
        <f>'Summary (READ FIRST)'!$B$11</f>
        <v>English</v>
      </c>
      <c r="C367" s="367" t="s">
        <v>45</v>
      </c>
      <c r="D367" s="367" t="s">
        <v>26</v>
      </c>
      <c r="E367" s="367" t="s">
        <v>20</v>
      </c>
      <c r="F367" s="367" t="s">
        <v>23</v>
      </c>
      <c r="G367" s="382">
        <f>VO!AA15</f>
        <v>31</v>
      </c>
      <c r="H367" s="382">
        <f>VO!AB15</f>
        <v>32</v>
      </c>
      <c r="I367" s="384">
        <f>VO!AC15</f>
        <v>55</v>
      </c>
      <c r="J367" s="382">
        <f>VO!$AE$15</f>
        <v>0</v>
      </c>
      <c r="K367" s="382">
        <f>VO!$AF$15</f>
        <v>0</v>
      </c>
      <c r="L367" s="382" t="str">
        <f>VO!$AH$15</f>
        <v>Tools</v>
      </c>
      <c r="M367" s="407">
        <f>VO!$AI$15</f>
        <v>0.05</v>
      </c>
      <c r="N367" s="391">
        <f>VO!$AJ$15</f>
        <v>0</v>
      </c>
    </row>
    <row r="368" spans="1:14" x14ac:dyDescent="0.35">
      <c r="A368" s="371" t="str">
        <f>'Summary (READ FIRST)'!$B$8</f>
        <v>Supplier 1</v>
      </c>
      <c r="B368" s="366" t="str">
        <f>'Summary (READ FIRST)'!$B$11</f>
        <v>English</v>
      </c>
      <c r="C368" s="366" t="s">
        <v>45</v>
      </c>
      <c r="D368" s="366" t="s">
        <v>27</v>
      </c>
      <c r="E368" s="366" t="s">
        <v>16</v>
      </c>
      <c r="F368" s="366" t="s">
        <v>46</v>
      </c>
      <c r="G368" s="382">
        <f>VO!E16</f>
        <v>79</v>
      </c>
      <c r="H368" s="382">
        <f>VO!G16</f>
        <v>51</v>
      </c>
      <c r="I368" s="382"/>
      <c r="J368" s="382">
        <f>VO!$AE$16</f>
        <v>1</v>
      </c>
      <c r="K368" s="382">
        <f>VO!$AF$16</f>
        <v>0.5</v>
      </c>
      <c r="L368" s="382" t="str">
        <f>VO!$AH$16</f>
        <v>Automated system</v>
      </c>
      <c r="M368" s="407">
        <f>VO!$AI$16</f>
        <v>0</v>
      </c>
      <c r="N368" s="391" t="str">
        <f>VO!$AJ$16</f>
        <v>Note 5</v>
      </c>
    </row>
    <row r="369" spans="1:14" x14ac:dyDescent="0.35">
      <c r="A369" s="368" t="str">
        <f>'Summary (READ FIRST)'!$B$8</f>
        <v>Supplier 1</v>
      </c>
      <c r="B369" s="367" t="str">
        <f>'Summary (READ FIRST)'!$B$11</f>
        <v>English</v>
      </c>
      <c r="C369" s="367" t="s">
        <v>45</v>
      </c>
      <c r="D369" s="367" t="s">
        <v>27</v>
      </c>
      <c r="E369" s="367" t="s">
        <v>16</v>
      </c>
      <c r="F369" s="367" t="s">
        <v>47</v>
      </c>
      <c r="G369" s="382">
        <f>VO!F16</f>
        <v>0</v>
      </c>
      <c r="H369" s="382">
        <f>VO!H16</f>
        <v>32</v>
      </c>
      <c r="I369" s="382"/>
      <c r="J369" s="382">
        <f>VO!$AE$16</f>
        <v>1</v>
      </c>
      <c r="K369" s="382">
        <f>VO!$AF$16</f>
        <v>0.5</v>
      </c>
      <c r="L369" s="382" t="str">
        <f>VO!$AH$16</f>
        <v>Automated system</v>
      </c>
      <c r="M369" s="407">
        <f>VO!$AI$16</f>
        <v>0</v>
      </c>
      <c r="N369" s="391" t="str">
        <f>VO!$AJ$16</f>
        <v>Note 5</v>
      </c>
    </row>
    <row r="370" spans="1:14" x14ac:dyDescent="0.35">
      <c r="A370" s="368" t="str">
        <f>'Summary (READ FIRST)'!$B$8</f>
        <v>Supplier 1</v>
      </c>
      <c r="B370" s="367" t="str">
        <f>'Summary (READ FIRST)'!$B$11</f>
        <v>English</v>
      </c>
      <c r="C370" s="367" t="s">
        <v>45</v>
      </c>
      <c r="D370" s="367" t="s">
        <v>27</v>
      </c>
      <c r="E370" s="367" t="s">
        <v>16</v>
      </c>
      <c r="F370" s="367" t="s">
        <v>38</v>
      </c>
      <c r="G370" s="382">
        <f>VO!J16</f>
        <v>46</v>
      </c>
      <c r="H370" s="382">
        <f>VO!L16</f>
        <v>24</v>
      </c>
      <c r="I370" s="382"/>
      <c r="J370" s="382">
        <f>VO!$AE$16</f>
        <v>1</v>
      </c>
      <c r="K370" s="382">
        <f>VO!$AF$16</f>
        <v>0.5</v>
      </c>
      <c r="L370" s="382" t="str">
        <f>VO!$AH$16</f>
        <v>Automated system</v>
      </c>
      <c r="M370" s="407">
        <f>VO!$AI$16</f>
        <v>0</v>
      </c>
      <c r="N370" s="391" t="str">
        <f>VO!$AJ$16</f>
        <v>Note 5</v>
      </c>
    </row>
    <row r="371" spans="1:14" x14ac:dyDescent="0.35">
      <c r="A371" s="368" t="str">
        <f>'Summary (READ FIRST)'!$B$8</f>
        <v>Supplier 1</v>
      </c>
      <c r="B371" s="367" t="str">
        <f>'Summary (READ FIRST)'!$B$11</f>
        <v>English</v>
      </c>
      <c r="C371" s="367" t="s">
        <v>45</v>
      </c>
      <c r="D371" s="367" t="s">
        <v>27</v>
      </c>
      <c r="E371" s="367" t="s">
        <v>16</v>
      </c>
      <c r="F371" s="367" t="s">
        <v>39</v>
      </c>
      <c r="G371" s="382">
        <f>VO!K16</f>
        <v>36</v>
      </c>
      <c r="H371" s="382">
        <f>VO!M16</f>
        <v>0</v>
      </c>
      <c r="I371" s="382"/>
      <c r="J371" s="382">
        <f>VO!$AE$16</f>
        <v>1</v>
      </c>
      <c r="K371" s="382">
        <f>VO!$AF$16</f>
        <v>0.5</v>
      </c>
      <c r="L371" s="382" t="str">
        <f>VO!$AH$16</f>
        <v>Automated system</v>
      </c>
      <c r="M371" s="407">
        <f>VO!$AI$16</f>
        <v>0</v>
      </c>
      <c r="N371" s="391" t="str">
        <f>VO!$AJ$16</f>
        <v>Note 5</v>
      </c>
    </row>
    <row r="372" spans="1:14" x14ac:dyDescent="0.35">
      <c r="A372" s="368" t="str">
        <f>'Summary (READ FIRST)'!$B$8</f>
        <v>Supplier 1</v>
      </c>
      <c r="B372" s="367" t="str">
        <f>'Summary (READ FIRST)'!$B$11</f>
        <v>English</v>
      </c>
      <c r="C372" s="367" t="s">
        <v>45</v>
      </c>
      <c r="D372" s="367" t="s">
        <v>27</v>
      </c>
      <c r="E372" s="367" t="s">
        <v>16</v>
      </c>
      <c r="F372" s="367" t="s">
        <v>40</v>
      </c>
      <c r="G372" s="382">
        <f>VO!O16</f>
        <v>45</v>
      </c>
      <c r="H372" s="382">
        <f>VO!Q16</f>
        <v>59</v>
      </c>
      <c r="I372" s="382"/>
      <c r="J372" s="382">
        <f>VO!$AE$16</f>
        <v>1</v>
      </c>
      <c r="K372" s="382">
        <f>VO!$AF$16</f>
        <v>0.5</v>
      </c>
      <c r="L372" s="382" t="str">
        <f>VO!$AH$16</f>
        <v>Automated system</v>
      </c>
      <c r="M372" s="407">
        <f>VO!$AI$16</f>
        <v>0</v>
      </c>
      <c r="N372" s="391" t="str">
        <f>VO!$AJ$16</f>
        <v>Note 5</v>
      </c>
    </row>
    <row r="373" spans="1:14" x14ac:dyDescent="0.35">
      <c r="A373" s="368" t="str">
        <f>'Summary (READ FIRST)'!$B$8</f>
        <v>Supplier 1</v>
      </c>
      <c r="B373" s="367" t="str">
        <f>'Summary (READ FIRST)'!$B$11</f>
        <v>English</v>
      </c>
      <c r="C373" s="367" t="s">
        <v>45</v>
      </c>
      <c r="D373" s="367" t="s">
        <v>27</v>
      </c>
      <c r="E373" s="367" t="s">
        <v>16</v>
      </c>
      <c r="F373" s="367" t="s">
        <v>41</v>
      </c>
      <c r="G373" s="382">
        <f>VO!P16</f>
        <v>0</v>
      </c>
      <c r="H373" s="382">
        <f>VO!R16</f>
        <v>0</v>
      </c>
      <c r="I373" s="382"/>
      <c r="J373" s="382">
        <f>VO!$AE$16</f>
        <v>1</v>
      </c>
      <c r="K373" s="382">
        <f>VO!$AF$16</f>
        <v>0.5</v>
      </c>
      <c r="L373" s="382" t="str">
        <f>VO!$AH$16</f>
        <v>Automated system</v>
      </c>
      <c r="M373" s="407">
        <f>VO!$AI$16</f>
        <v>0</v>
      </c>
      <c r="N373" s="391" t="str">
        <f>VO!$AJ$16</f>
        <v>Note 5</v>
      </c>
    </row>
    <row r="374" spans="1:14" x14ac:dyDescent="0.35">
      <c r="A374" s="368" t="str">
        <f>'Summary (READ FIRST)'!$B$8</f>
        <v>Supplier 1</v>
      </c>
      <c r="B374" s="367" t="str">
        <f>'Summary (READ FIRST)'!$B$11</f>
        <v>English</v>
      </c>
      <c r="C374" s="367" t="s">
        <v>45</v>
      </c>
      <c r="D374" s="367" t="s">
        <v>27</v>
      </c>
      <c r="E374" s="367" t="s">
        <v>20</v>
      </c>
      <c r="F374" s="367" t="s">
        <v>42</v>
      </c>
      <c r="G374" s="382">
        <f>VO!T16</f>
        <v>0</v>
      </c>
      <c r="H374" s="382">
        <f>VO!V16</f>
        <v>41</v>
      </c>
      <c r="I374" s="384">
        <f>VO!X16</f>
        <v>44</v>
      </c>
      <c r="J374" s="382">
        <f>VO!$AE$16</f>
        <v>1</v>
      </c>
      <c r="K374" s="382">
        <f>VO!$AF$16</f>
        <v>0.5</v>
      </c>
      <c r="L374" s="382" t="str">
        <f>VO!$AH$16</f>
        <v>Automated system</v>
      </c>
      <c r="M374" s="407">
        <f>VO!$AI$16</f>
        <v>0</v>
      </c>
      <c r="N374" s="391" t="str">
        <f>VO!$AJ$16</f>
        <v>Note 5</v>
      </c>
    </row>
    <row r="375" spans="1:14" x14ac:dyDescent="0.35">
      <c r="A375" s="368" t="str">
        <f>'Summary (READ FIRST)'!$B$8</f>
        <v>Supplier 1</v>
      </c>
      <c r="B375" s="367" t="str">
        <f>'Summary (READ FIRST)'!$B$11</f>
        <v>English</v>
      </c>
      <c r="C375" s="367" t="s">
        <v>45</v>
      </c>
      <c r="D375" s="367" t="s">
        <v>27</v>
      </c>
      <c r="E375" s="367" t="s">
        <v>20</v>
      </c>
      <c r="F375" s="367" t="s">
        <v>43</v>
      </c>
      <c r="G375" s="382">
        <f>VO!U16</f>
        <v>62</v>
      </c>
      <c r="H375" s="382">
        <f>VO!W16</f>
        <v>0</v>
      </c>
      <c r="I375" s="384">
        <f>VO!Y16</f>
        <v>0</v>
      </c>
      <c r="J375" s="382">
        <f>VO!$AE$16</f>
        <v>1</v>
      </c>
      <c r="K375" s="382">
        <f>VO!$AF$16</f>
        <v>0.5</v>
      </c>
      <c r="L375" s="382" t="str">
        <f>VO!$AH$16</f>
        <v>Automated system</v>
      </c>
      <c r="M375" s="407">
        <f>VO!$AI$16</f>
        <v>0</v>
      </c>
      <c r="N375" s="391" t="str">
        <f>VO!$AJ$16</f>
        <v>Note 5</v>
      </c>
    </row>
    <row r="376" spans="1:14" x14ac:dyDescent="0.35">
      <c r="A376" s="368" t="str">
        <f>'Summary (READ FIRST)'!$B$8</f>
        <v>Supplier 1</v>
      </c>
      <c r="B376" s="367" t="str">
        <f>'Summary (READ FIRST)'!$B$11</f>
        <v>English</v>
      </c>
      <c r="C376" s="367" t="s">
        <v>45</v>
      </c>
      <c r="D376" s="367" t="s">
        <v>27</v>
      </c>
      <c r="E376" s="367" t="s">
        <v>20</v>
      </c>
      <c r="F376" s="367" t="s">
        <v>23</v>
      </c>
      <c r="G376" s="382">
        <f>VO!AA16</f>
        <v>63</v>
      </c>
      <c r="H376" s="382">
        <f>VO!AB16</f>
        <v>24</v>
      </c>
      <c r="I376" s="384">
        <f>VO!AC16</f>
        <v>0</v>
      </c>
      <c r="J376" s="382">
        <f>VO!$AE$16</f>
        <v>1</v>
      </c>
      <c r="K376" s="382">
        <f>VO!$AF$16</f>
        <v>0.5</v>
      </c>
      <c r="L376" s="382" t="str">
        <f>VO!$AH$16</f>
        <v>Automated system</v>
      </c>
      <c r="M376" s="407">
        <f>VO!$AI$16</f>
        <v>0</v>
      </c>
      <c r="N376" s="391" t="str">
        <f>VO!$AJ$16</f>
        <v>Note 5</v>
      </c>
    </row>
    <row r="377" spans="1:14" x14ac:dyDescent="0.35">
      <c r="A377" s="371" t="str">
        <f>'Summary (READ FIRST)'!$B$8</f>
        <v>Supplier 1</v>
      </c>
      <c r="B377" s="366" t="str">
        <f>'Summary (READ FIRST)'!$B$11</f>
        <v>English</v>
      </c>
      <c r="C377" s="366" t="s">
        <v>45</v>
      </c>
      <c r="D377" s="366" t="s">
        <v>28</v>
      </c>
      <c r="E377" s="366" t="s">
        <v>16</v>
      </c>
      <c r="F377" s="366" t="s">
        <v>46</v>
      </c>
      <c r="G377" s="382">
        <f>VO!E17</f>
        <v>0</v>
      </c>
      <c r="H377" s="382">
        <f>VO!G17</f>
        <v>42</v>
      </c>
      <c r="I377" s="382"/>
      <c r="J377" s="382">
        <f>VO!$AE$17</f>
        <v>1</v>
      </c>
      <c r="K377" s="382">
        <f>VO!$AF$17</f>
        <v>0.5</v>
      </c>
      <c r="L377" s="382">
        <f>VO!$AH$17</f>
        <v>0</v>
      </c>
      <c r="M377" s="407">
        <f>VO!$AI$17</f>
        <v>0.1</v>
      </c>
      <c r="N377" s="391" t="str">
        <f>VO!$AJ$17</f>
        <v>Note 5</v>
      </c>
    </row>
    <row r="378" spans="1:14" x14ac:dyDescent="0.35">
      <c r="A378" s="368" t="str">
        <f>'Summary (READ FIRST)'!$B$8</f>
        <v>Supplier 1</v>
      </c>
      <c r="B378" s="367" t="str">
        <f>'Summary (READ FIRST)'!$B$11</f>
        <v>English</v>
      </c>
      <c r="C378" s="367" t="s">
        <v>45</v>
      </c>
      <c r="D378" s="367" t="s">
        <v>28</v>
      </c>
      <c r="E378" s="367" t="s">
        <v>16</v>
      </c>
      <c r="F378" s="367" t="s">
        <v>47</v>
      </c>
      <c r="G378" s="382">
        <f>VO!F17</f>
        <v>52</v>
      </c>
      <c r="H378" s="382">
        <f>VO!H17</f>
        <v>0</v>
      </c>
      <c r="I378" s="382"/>
      <c r="J378" s="382">
        <f>VO!$AE$17</f>
        <v>1</v>
      </c>
      <c r="K378" s="382">
        <f>VO!$AF$17</f>
        <v>0.5</v>
      </c>
      <c r="L378" s="382">
        <f>VO!$AH$17</f>
        <v>0</v>
      </c>
      <c r="M378" s="407">
        <f>VO!$AI$17</f>
        <v>0.1</v>
      </c>
      <c r="N378" s="391" t="str">
        <f>VO!$AJ$17</f>
        <v>Note 5</v>
      </c>
    </row>
    <row r="379" spans="1:14" x14ac:dyDescent="0.35">
      <c r="A379" s="368" t="str">
        <f>'Summary (READ FIRST)'!$B$8</f>
        <v>Supplier 1</v>
      </c>
      <c r="B379" s="367" t="str">
        <f>'Summary (READ FIRST)'!$B$11</f>
        <v>English</v>
      </c>
      <c r="C379" s="367" t="s">
        <v>45</v>
      </c>
      <c r="D379" s="367" t="s">
        <v>28</v>
      </c>
      <c r="E379" s="367" t="s">
        <v>16</v>
      </c>
      <c r="F379" s="367" t="s">
        <v>38</v>
      </c>
      <c r="G379" s="382">
        <f>VO!J17</f>
        <v>0</v>
      </c>
      <c r="H379" s="382">
        <f>VO!L17</f>
        <v>0</v>
      </c>
      <c r="I379" s="382"/>
      <c r="J379" s="382">
        <f>VO!$AE$17</f>
        <v>1</v>
      </c>
      <c r="K379" s="382">
        <f>VO!$AF$17</f>
        <v>0.5</v>
      </c>
      <c r="L379" s="382">
        <f>VO!$AH$17</f>
        <v>0</v>
      </c>
      <c r="M379" s="407">
        <f>VO!$AI$17</f>
        <v>0.1</v>
      </c>
      <c r="N379" s="391" t="str">
        <f>VO!$AJ$17</f>
        <v>Note 5</v>
      </c>
    </row>
    <row r="380" spans="1:14" x14ac:dyDescent="0.35">
      <c r="A380" s="368" t="str">
        <f>'Summary (READ FIRST)'!$B$8</f>
        <v>Supplier 1</v>
      </c>
      <c r="B380" s="367" t="str">
        <f>'Summary (READ FIRST)'!$B$11</f>
        <v>English</v>
      </c>
      <c r="C380" s="367" t="s">
        <v>45</v>
      </c>
      <c r="D380" s="367" t="s">
        <v>28</v>
      </c>
      <c r="E380" s="367" t="s">
        <v>16</v>
      </c>
      <c r="F380" s="367" t="s">
        <v>39</v>
      </c>
      <c r="G380" s="382">
        <f>VO!K17</f>
        <v>73</v>
      </c>
      <c r="H380" s="382">
        <f>VO!M17</f>
        <v>54</v>
      </c>
      <c r="I380" s="382"/>
      <c r="J380" s="382">
        <f>VO!$AE$17</f>
        <v>1</v>
      </c>
      <c r="K380" s="382">
        <f>VO!$AF$17</f>
        <v>0.5</v>
      </c>
      <c r="L380" s="382">
        <f>VO!$AH$17</f>
        <v>0</v>
      </c>
      <c r="M380" s="407">
        <f>VO!$AI$17</f>
        <v>0.1</v>
      </c>
      <c r="N380" s="391" t="str">
        <f>VO!$AJ$17</f>
        <v>Note 5</v>
      </c>
    </row>
    <row r="381" spans="1:14" x14ac:dyDescent="0.35">
      <c r="A381" s="368" t="str">
        <f>'Summary (READ FIRST)'!$B$8</f>
        <v>Supplier 1</v>
      </c>
      <c r="B381" s="367" t="str">
        <f>'Summary (READ FIRST)'!$B$11</f>
        <v>English</v>
      </c>
      <c r="C381" s="367" t="s">
        <v>45</v>
      </c>
      <c r="D381" s="367" t="s">
        <v>28</v>
      </c>
      <c r="E381" s="367" t="s">
        <v>16</v>
      </c>
      <c r="F381" s="367" t="s">
        <v>40</v>
      </c>
      <c r="G381" s="382">
        <f>VO!O17</f>
        <v>53</v>
      </c>
      <c r="H381" s="382">
        <f>VO!Q17</f>
        <v>23</v>
      </c>
      <c r="I381" s="382"/>
      <c r="J381" s="382">
        <f>VO!$AE$17</f>
        <v>1</v>
      </c>
      <c r="K381" s="382">
        <f>VO!$AF$17</f>
        <v>0.5</v>
      </c>
      <c r="L381" s="382">
        <f>VO!$AH$17</f>
        <v>0</v>
      </c>
      <c r="M381" s="407">
        <f>VO!$AI$17</f>
        <v>0.1</v>
      </c>
      <c r="N381" s="391" t="str">
        <f>VO!$AJ$17</f>
        <v>Note 5</v>
      </c>
    </row>
    <row r="382" spans="1:14" x14ac:dyDescent="0.35">
      <c r="A382" s="368" t="str">
        <f>'Summary (READ FIRST)'!$B$8</f>
        <v>Supplier 1</v>
      </c>
      <c r="B382" s="367" t="str">
        <f>'Summary (READ FIRST)'!$B$11</f>
        <v>English</v>
      </c>
      <c r="C382" s="367" t="s">
        <v>45</v>
      </c>
      <c r="D382" s="367" t="s">
        <v>28</v>
      </c>
      <c r="E382" s="367" t="s">
        <v>16</v>
      </c>
      <c r="F382" s="367" t="s">
        <v>41</v>
      </c>
      <c r="G382" s="382">
        <f>VO!P17</f>
        <v>74</v>
      </c>
      <c r="H382" s="382">
        <f>VO!R17</f>
        <v>32</v>
      </c>
      <c r="I382" s="382"/>
      <c r="J382" s="382">
        <f>VO!$AE$17</f>
        <v>1</v>
      </c>
      <c r="K382" s="382">
        <f>VO!$AF$17</f>
        <v>0.5</v>
      </c>
      <c r="L382" s="382">
        <f>VO!$AH$17</f>
        <v>0</v>
      </c>
      <c r="M382" s="407">
        <f>VO!$AI$17</f>
        <v>0.1</v>
      </c>
      <c r="N382" s="391" t="str">
        <f>VO!$AJ$17</f>
        <v>Note 5</v>
      </c>
    </row>
    <row r="383" spans="1:14" x14ac:dyDescent="0.35">
      <c r="A383" s="368" t="str">
        <f>'Summary (READ FIRST)'!$B$8</f>
        <v>Supplier 1</v>
      </c>
      <c r="B383" s="367" t="str">
        <f>'Summary (READ FIRST)'!$B$11</f>
        <v>English</v>
      </c>
      <c r="C383" s="367" t="s">
        <v>45</v>
      </c>
      <c r="D383" s="367" t="s">
        <v>28</v>
      </c>
      <c r="E383" s="367" t="s">
        <v>20</v>
      </c>
      <c r="F383" s="367" t="s">
        <v>42</v>
      </c>
      <c r="G383" s="382">
        <f>VO!T17</f>
        <v>39</v>
      </c>
      <c r="H383" s="382">
        <f>VO!V17</f>
        <v>31</v>
      </c>
      <c r="I383" s="384">
        <f>VO!X17</f>
        <v>53</v>
      </c>
      <c r="J383" s="382">
        <f>VO!$AE$17</f>
        <v>1</v>
      </c>
      <c r="K383" s="382">
        <f>VO!$AF$17</f>
        <v>0.5</v>
      </c>
      <c r="L383" s="382">
        <f>VO!$AH$17</f>
        <v>0</v>
      </c>
      <c r="M383" s="407">
        <f>VO!$AI$17</f>
        <v>0.1</v>
      </c>
      <c r="N383" s="391" t="str">
        <f>VO!$AJ$17</f>
        <v>Note 5</v>
      </c>
    </row>
    <row r="384" spans="1:14" x14ac:dyDescent="0.35">
      <c r="A384" s="368" t="str">
        <f>'Summary (READ FIRST)'!$B$8</f>
        <v>Supplier 1</v>
      </c>
      <c r="B384" s="367" t="str">
        <f>'Summary (READ FIRST)'!$B$11</f>
        <v>English</v>
      </c>
      <c r="C384" s="367" t="s">
        <v>45</v>
      </c>
      <c r="D384" s="367" t="s">
        <v>28</v>
      </c>
      <c r="E384" s="367" t="s">
        <v>20</v>
      </c>
      <c r="F384" s="367" t="s">
        <v>43</v>
      </c>
      <c r="G384" s="382">
        <f>VO!U17</f>
        <v>77</v>
      </c>
      <c r="H384" s="382">
        <f>VO!W17</f>
        <v>50</v>
      </c>
      <c r="I384" s="384">
        <f>VO!Y17</f>
        <v>50</v>
      </c>
      <c r="J384" s="382">
        <f>VO!$AE$17</f>
        <v>1</v>
      </c>
      <c r="K384" s="382">
        <f>VO!$AF$17</f>
        <v>0.5</v>
      </c>
      <c r="L384" s="382">
        <f>VO!$AH$17</f>
        <v>0</v>
      </c>
      <c r="M384" s="407">
        <f>VO!$AI$17</f>
        <v>0.1</v>
      </c>
      <c r="N384" s="391" t="str">
        <f>VO!$AJ$17</f>
        <v>Note 5</v>
      </c>
    </row>
    <row r="385" spans="1:14" x14ac:dyDescent="0.35">
      <c r="A385" s="368" t="str">
        <f>'Summary (READ FIRST)'!$B$8</f>
        <v>Supplier 1</v>
      </c>
      <c r="B385" s="367" t="str">
        <f>'Summary (READ FIRST)'!$B$11</f>
        <v>English</v>
      </c>
      <c r="C385" s="367" t="s">
        <v>45</v>
      </c>
      <c r="D385" s="367" t="s">
        <v>28</v>
      </c>
      <c r="E385" s="367" t="s">
        <v>20</v>
      </c>
      <c r="F385" s="367" t="s">
        <v>23</v>
      </c>
      <c r="G385" s="382">
        <f>VO!AA17</f>
        <v>73</v>
      </c>
      <c r="H385" s="382">
        <f>VO!AB17</f>
        <v>55</v>
      </c>
      <c r="I385" s="384">
        <f>VO!AC17</f>
        <v>58</v>
      </c>
      <c r="J385" s="382">
        <f>VO!$AE$17</f>
        <v>1</v>
      </c>
      <c r="K385" s="382">
        <f>VO!$AF$17</f>
        <v>0.5</v>
      </c>
      <c r="L385" s="382">
        <f>VO!$AH$17</f>
        <v>0</v>
      </c>
      <c r="M385" s="407">
        <f>VO!$AI$17</f>
        <v>0.1</v>
      </c>
      <c r="N385" s="391" t="str">
        <f>VO!$AJ$17</f>
        <v>Note 5</v>
      </c>
    </row>
    <row r="386" spans="1:14" x14ac:dyDescent="0.35">
      <c r="A386" s="371" t="str">
        <f>'Summary (READ FIRST)'!$B$8</f>
        <v>Supplier 1</v>
      </c>
      <c r="B386" s="366" t="str">
        <f>'Summary (READ FIRST)'!$B$11</f>
        <v>English</v>
      </c>
      <c r="C386" s="366" t="s">
        <v>45</v>
      </c>
      <c r="D386" s="366" t="s">
        <v>29</v>
      </c>
      <c r="E386" s="366" t="s">
        <v>16</v>
      </c>
      <c r="F386" s="366" t="s">
        <v>46</v>
      </c>
      <c r="G386" s="382">
        <f>VO!E18</f>
        <v>77</v>
      </c>
      <c r="H386" s="382">
        <f>VO!G18</f>
        <v>25</v>
      </c>
      <c r="I386" s="382"/>
      <c r="J386" s="382">
        <f>VO!$AE$18</f>
        <v>0</v>
      </c>
      <c r="K386" s="382">
        <f>VO!$AF$18</f>
        <v>0</v>
      </c>
      <c r="L386" s="382" t="str">
        <f>VO!$AH$18</f>
        <v>Workflow</v>
      </c>
      <c r="M386" s="407">
        <f>VO!$AI$18</f>
        <v>0.15</v>
      </c>
      <c r="N386" s="391" t="str">
        <f>VO!$AJ$18</f>
        <v>Note 5</v>
      </c>
    </row>
    <row r="387" spans="1:14" x14ac:dyDescent="0.35">
      <c r="A387" s="368" t="str">
        <f>'Summary (READ FIRST)'!$B$8</f>
        <v>Supplier 1</v>
      </c>
      <c r="B387" s="367" t="str">
        <f>'Summary (READ FIRST)'!$B$11</f>
        <v>English</v>
      </c>
      <c r="C387" s="367" t="s">
        <v>45</v>
      </c>
      <c r="D387" s="367" t="s">
        <v>29</v>
      </c>
      <c r="E387" s="367" t="s">
        <v>16</v>
      </c>
      <c r="F387" s="367" t="s">
        <v>47</v>
      </c>
      <c r="G387" s="382">
        <f>VO!F18</f>
        <v>49</v>
      </c>
      <c r="H387" s="382">
        <f>VO!H18</f>
        <v>41</v>
      </c>
      <c r="I387" s="382"/>
      <c r="J387" s="382">
        <f>VO!$AE$18</f>
        <v>0</v>
      </c>
      <c r="K387" s="382">
        <f>VO!$AF$18</f>
        <v>0</v>
      </c>
      <c r="L387" s="382" t="str">
        <f>VO!$AH$18</f>
        <v>Workflow</v>
      </c>
      <c r="M387" s="407">
        <f>VO!$AI$18</f>
        <v>0.15</v>
      </c>
      <c r="N387" s="391" t="str">
        <f>VO!$AJ$18</f>
        <v>Note 5</v>
      </c>
    </row>
    <row r="388" spans="1:14" x14ac:dyDescent="0.35">
      <c r="A388" s="368" t="str">
        <f>'Summary (READ FIRST)'!$B$8</f>
        <v>Supplier 1</v>
      </c>
      <c r="B388" s="367" t="str">
        <f>'Summary (READ FIRST)'!$B$11</f>
        <v>English</v>
      </c>
      <c r="C388" s="367" t="s">
        <v>45</v>
      </c>
      <c r="D388" s="367" t="s">
        <v>29</v>
      </c>
      <c r="E388" s="367" t="s">
        <v>16</v>
      </c>
      <c r="F388" s="367" t="s">
        <v>38</v>
      </c>
      <c r="G388" s="382">
        <f>VO!J18</f>
        <v>55</v>
      </c>
      <c r="H388" s="382">
        <f>VO!L18</f>
        <v>36</v>
      </c>
      <c r="I388" s="382"/>
      <c r="J388" s="382">
        <f>VO!$AE$18</f>
        <v>0</v>
      </c>
      <c r="K388" s="382">
        <f>VO!$AF$18</f>
        <v>0</v>
      </c>
      <c r="L388" s="382" t="str">
        <f>VO!$AH$18</f>
        <v>Workflow</v>
      </c>
      <c r="M388" s="407">
        <f>VO!$AI$18</f>
        <v>0.15</v>
      </c>
      <c r="N388" s="391" t="str">
        <f>VO!$AJ$18</f>
        <v>Note 5</v>
      </c>
    </row>
    <row r="389" spans="1:14" x14ac:dyDescent="0.35">
      <c r="A389" s="368" t="str">
        <f>'Summary (READ FIRST)'!$B$8</f>
        <v>Supplier 1</v>
      </c>
      <c r="B389" s="367" t="str">
        <f>'Summary (READ FIRST)'!$B$11</f>
        <v>English</v>
      </c>
      <c r="C389" s="367" t="s">
        <v>45</v>
      </c>
      <c r="D389" s="367" t="s">
        <v>29</v>
      </c>
      <c r="E389" s="367" t="s">
        <v>16</v>
      </c>
      <c r="F389" s="367" t="s">
        <v>39</v>
      </c>
      <c r="G389" s="382">
        <f>VO!K18</f>
        <v>46</v>
      </c>
      <c r="H389" s="382">
        <f>VO!M18</f>
        <v>46</v>
      </c>
      <c r="I389" s="382"/>
      <c r="J389" s="382">
        <f>VO!$AE$18</f>
        <v>0</v>
      </c>
      <c r="K389" s="382">
        <f>VO!$AF$18</f>
        <v>0</v>
      </c>
      <c r="L389" s="382" t="str">
        <f>VO!$AH$18</f>
        <v>Workflow</v>
      </c>
      <c r="M389" s="407">
        <f>VO!$AI$18</f>
        <v>0.15</v>
      </c>
      <c r="N389" s="391" t="str">
        <f>VO!$AJ$18</f>
        <v>Note 5</v>
      </c>
    </row>
    <row r="390" spans="1:14" x14ac:dyDescent="0.35">
      <c r="A390" s="368" t="str">
        <f>'Summary (READ FIRST)'!$B$8</f>
        <v>Supplier 1</v>
      </c>
      <c r="B390" s="367" t="str">
        <f>'Summary (READ FIRST)'!$B$11</f>
        <v>English</v>
      </c>
      <c r="C390" s="367" t="s">
        <v>45</v>
      </c>
      <c r="D390" s="367" t="s">
        <v>29</v>
      </c>
      <c r="E390" s="367" t="s">
        <v>16</v>
      </c>
      <c r="F390" s="367" t="s">
        <v>40</v>
      </c>
      <c r="G390" s="382">
        <f>VO!O18</f>
        <v>0</v>
      </c>
      <c r="H390" s="382">
        <f>VO!Q18</f>
        <v>29</v>
      </c>
      <c r="I390" s="382"/>
      <c r="J390" s="382">
        <f>VO!$AE$18</f>
        <v>0</v>
      </c>
      <c r="K390" s="382">
        <f>VO!$AF$18</f>
        <v>0</v>
      </c>
      <c r="L390" s="382" t="str">
        <f>VO!$AH$18</f>
        <v>Workflow</v>
      </c>
      <c r="M390" s="407">
        <f>VO!$AI$18</f>
        <v>0.15</v>
      </c>
      <c r="N390" s="391" t="str">
        <f>VO!$AJ$18</f>
        <v>Note 5</v>
      </c>
    </row>
    <row r="391" spans="1:14" x14ac:dyDescent="0.35">
      <c r="A391" s="368" t="str">
        <f>'Summary (READ FIRST)'!$B$8</f>
        <v>Supplier 1</v>
      </c>
      <c r="B391" s="367" t="str">
        <f>'Summary (READ FIRST)'!$B$11</f>
        <v>English</v>
      </c>
      <c r="C391" s="367" t="s">
        <v>45</v>
      </c>
      <c r="D391" s="367" t="s">
        <v>29</v>
      </c>
      <c r="E391" s="367" t="s">
        <v>16</v>
      </c>
      <c r="F391" s="367" t="s">
        <v>41</v>
      </c>
      <c r="G391" s="382">
        <f>VO!P18</f>
        <v>59</v>
      </c>
      <c r="H391" s="382">
        <f>VO!R18</f>
        <v>43</v>
      </c>
      <c r="I391" s="382"/>
      <c r="J391" s="382">
        <f>VO!$AE$18</f>
        <v>0</v>
      </c>
      <c r="K391" s="382">
        <f>VO!$AF$18</f>
        <v>0</v>
      </c>
      <c r="L391" s="382" t="str">
        <f>VO!$AH$18</f>
        <v>Workflow</v>
      </c>
      <c r="M391" s="407">
        <f>VO!$AI$18</f>
        <v>0.15</v>
      </c>
      <c r="N391" s="391" t="str">
        <f>VO!$AJ$18</f>
        <v>Note 5</v>
      </c>
    </row>
    <row r="392" spans="1:14" x14ac:dyDescent="0.35">
      <c r="A392" s="368" t="str">
        <f>'Summary (READ FIRST)'!$B$8</f>
        <v>Supplier 1</v>
      </c>
      <c r="B392" s="367" t="str">
        <f>'Summary (READ FIRST)'!$B$11</f>
        <v>English</v>
      </c>
      <c r="C392" s="367" t="s">
        <v>45</v>
      </c>
      <c r="D392" s="367" t="s">
        <v>29</v>
      </c>
      <c r="E392" s="367" t="s">
        <v>20</v>
      </c>
      <c r="F392" s="367" t="s">
        <v>42</v>
      </c>
      <c r="G392" s="382">
        <f>VO!T18</f>
        <v>40</v>
      </c>
      <c r="H392" s="382">
        <f>VO!V18</f>
        <v>25</v>
      </c>
      <c r="I392" s="384">
        <f>VO!X18</f>
        <v>0</v>
      </c>
      <c r="J392" s="382">
        <f>VO!$AE$18</f>
        <v>0</v>
      </c>
      <c r="K392" s="382">
        <f>VO!$AF$18</f>
        <v>0</v>
      </c>
      <c r="L392" s="382" t="str">
        <f>VO!$AH$18</f>
        <v>Workflow</v>
      </c>
      <c r="M392" s="407">
        <f>VO!$AI$18</f>
        <v>0.15</v>
      </c>
      <c r="N392" s="391" t="str">
        <f>VO!$AJ$18</f>
        <v>Note 5</v>
      </c>
    </row>
    <row r="393" spans="1:14" x14ac:dyDescent="0.35">
      <c r="A393" s="368" t="str">
        <f>'Summary (READ FIRST)'!$B$8</f>
        <v>Supplier 1</v>
      </c>
      <c r="B393" s="367" t="str">
        <f>'Summary (READ FIRST)'!$B$11</f>
        <v>English</v>
      </c>
      <c r="C393" s="367" t="s">
        <v>45</v>
      </c>
      <c r="D393" s="367" t="s">
        <v>29</v>
      </c>
      <c r="E393" s="367" t="s">
        <v>20</v>
      </c>
      <c r="F393" s="367" t="s">
        <v>43</v>
      </c>
      <c r="G393" s="382">
        <f>VO!U18</f>
        <v>62</v>
      </c>
      <c r="H393" s="382">
        <f>VO!W18</f>
        <v>56</v>
      </c>
      <c r="I393" s="384">
        <f>VO!Y18</f>
        <v>32</v>
      </c>
      <c r="J393" s="382">
        <f>VO!$AE$18</f>
        <v>0</v>
      </c>
      <c r="K393" s="382">
        <f>VO!$AF$18</f>
        <v>0</v>
      </c>
      <c r="L393" s="382" t="str">
        <f>VO!$AH$18</f>
        <v>Workflow</v>
      </c>
      <c r="M393" s="407">
        <f>VO!$AI$18</f>
        <v>0.15</v>
      </c>
      <c r="N393" s="391" t="str">
        <f>VO!$AJ$18</f>
        <v>Note 5</v>
      </c>
    </row>
    <row r="394" spans="1:14" x14ac:dyDescent="0.35">
      <c r="A394" s="368" t="str">
        <f>'Summary (READ FIRST)'!$B$8</f>
        <v>Supplier 1</v>
      </c>
      <c r="B394" s="367" t="str">
        <f>'Summary (READ FIRST)'!$B$11</f>
        <v>English</v>
      </c>
      <c r="C394" s="367" t="s">
        <v>45</v>
      </c>
      <c r="D394" s="367" t="s">
        <v>29</v>
      </c>
      <c r="E394" s="367" t="s">
        <v>20</v>
      </c>
      <c r="F394" s="367" t="s">
        <v>23</v>
      </c>
      <c r="G394" s="382">
        <f>VO!AA18</f>
        <v>61</v>
      </c>
      <c r="H394" s="382">
        <f>VO!AB18</f>
        <v>0</v>
      </c>
      <c r="I394" s="384">
        <f>VO!AC18</f>
        <v>62</v>
      </c>
      <c r="J394" s="382">
        <f>VO!$AE$18</f>
        <v>0</v>
      </c>
      <c r="K394" s="382">
        <f>VO!$AF$18</f>
        <v>0</v>
      </c>
      <c r="L394" s="382" t="str">
        <f>VO!$AH$18</f>
        <v>Workflow</v>
      </c>
      <c r="M394" s="407">
        <f>VO!$AI$18</f>
        <v>0.15</v>
      </c>
      <c r="N394" s="391" t="str">
        <f>VO!$AJ$18</f>
        <v>Note 5</v>
      </c>
    </row>
    <row r="395" spans="1:14" x14ac:dyDescent="0.35">
      <c r="A395" s="371" t="str">
        <f>'Summary (READ FIRST)'!$B$8</f>
        <v>Supplier 1</v>
      </c>
      <c r="B395" s="366" t="str">
        <f>'Summary (READ FIRST)'!$B$11</f>
        <v>English</v>
      </c>
      <c r="C395" s="366" t="s">
        <v>45</v>
      </c>
      <c r="D395" s="366" t="s">
        <v>30</v>
      </c>
      <c r="E395" s="366" t="s">
        <v>16</v>
      </c>
      <c r="F395" s="366" t="s">
        <v>46</v>
      </c>
      <c r="G395" s="382">
        <f>VO!E19</f>
        <v>73</v>
      </c>
      <c r="H395" s="382">
        <f>VO!G19</f>
        <v>0</v>
      </c>
      <c r="I395" s="382"/>
      <c r="J395" s="382">
        <f>VO!$AE$19</f>
        <v>1</v>
      </c>
      <c r="K395" s="382">
        <f>VO!$AF$19</f>
        <v>0.5</v>
      </c>
      <c r="L395" s="382" t="str">
        <f>VO!$AH$19</f>
        <v>Automated system</v>
      </c>
      <c r="M395" s="407">
        <f>VO!$AI$19</f>
        <v>0.2</v>
      </c>
      <c r="N395" s="391" t="str">
        <f>VO!$AJ$19</f>
        <v>Note 5</v>
      </c>
    </row>
    <row r="396" spans="1:14" x14ac:dyDescent="0.35">
      <c r="A396" s="368" t="str">
        <f>'Summary (READ FIRST)'!$B$8</f>
        <v>Supplier 1</v>
      </c>
      <c r="B396" s="367" t="str">
        <f>'Summary (READ FIRST)'!$B$11</f>
        <v>English</v>
      </c>
      <c r="C396" s="367" t="s">
        <v>45</v>
      </c>
      <c r="D396" s="367" t="s">
        <v>30</v>
      </c>
      <c r="E396" s="367" t="s">
        <v>16</v>
      </c>
      <c r="F396" s="367" t="s">
        <v>47</v>
      </c>
      <c r="G396" s="382">
        <f>VO!F19</f>
        <v>0</v>
      </c>
      <c r="H396" s="382">
        <f>VO!H19</f>
        <v>39</v>
      </c>
      <c r="I396" s="382"/>
      <c r="J396" s="382">
        <f>VO!$AE$19</f>
        <v>1</v>
      </c>
      <c r="K396" s="382">
        <f>VO!$AF$19</f>
        <v>0.5</v>
      </c>
      <c r="L396" s="382" t="str">
        <f>VO!$AH$19</f>
        <v>Automated system</v>
      </c>
      <c r="M396" s="407">
        <f>VO!$AI$19</f>
        <v>0.2</v>
      </c>
      <c r="N396" s="391" t="str">
        <f>VO!$AJ$19</f>
        <v>Note 5</v>
      </c>
    </row>
    <row r="397" spans="1:14" x14ac:dyDescent="0.35">
      <c r="A397" s="368" t="str">
        <f>'Summary (READ FIRST)'!$B$8</f>
        <v>Supplier 1</v>
      </c>
      <c r="B397" s="367" t="str">
        <f>'Summary (READ FIRST)'!$B$11</f>
        <v>English</v>
      </c>
      <c r="C397" s="367" t="s">
        <v>45</v>
      </c>
      <c r="D397" s="367" t="s">
        <v>30</v>
      </c>
      <c r="E397" s="367" t="s">
        <v>16</v>
      </c>
      <c r="F397" s="367" t="s">
        <v>38</v>
      </c>
      <c r="G397" s="382">
        <f>VO!J19</f>
        <v>58</v>
      </c>
      <c r="H397" s="382">
        <f>VO!L19</f>
        <v>50</v>
      </c>
      <c r="I397" s="382"/>
      <c r="J397" s="382">
        <f>VO!$AE$19</f>
        <v>1</v>
      </c>
      <c r="K397" s="382">
        <f>VO!$AF$19</f>
        <v>0.5</v>
      </c>
      <c r="L397" s="382" t="str">
        <f>VO!$AH$19</f>
        <v>Automated system</v>
      </c>
      <c r="M397" s="407">
        <f>VO!$AI$19</f>
        <v>0.2</v>
      </c>
      <c r="N397" s="391" t="str">
        <f>VO!$AJ$19</f>
        <v>Note 5</v>
      </c>
    </row>
    <row r="398" spans="1:14" x14ac:dyDescent="0.35">
      <c r="A398" s="368" t="str">
        <f>'Summary (READ FIRST)'!$B$8</f>
        <v>Supplier 1</v>
      </c>
      <c r="B398" s="367" t="str">
        <f>'Summary (READ FIRST)'!$B$11</f>
        <v>English</v>
      </c>
      <c r="C398" s="367" t="s">
        <v>45</v>
      </c>
      <c r="D398" s="367" t="s">
        <v>30</v>
      </c>
      <c r="E398" s="367" t="s">
        <v>16</v>
      </c>
      <c r="F398" s="367" t="s">
        <v>39</v>
      </c>
      <c r="G398" s="382">
        <f>VO!K19</f>
        <v>0</v>
      </c>
      <c r="H398" s="382">
        <f>VO!M19</f>
        <v>0</v>
      </c>
      <c r="I398" s="382"/>
      <c r="J398" s="382">
        <f>VO!$AE$19</f>
        <v>1</v>
      </c>
      <c r="K398" s="382">
        <f>VO!$AF$19</f>
        <v>0.5</v>
      </c>
      <c r="L398" s="382" t="str">
        <f>VO!$AH$19</f>
        <v>Automated system</v>
      </c>
      <c r="M398" s="407">
        <f>VO!$AI$19</f>
        <v>0.2</v>
      </c>
      <c r="N398" s="391" t="str">
        <f>VO!$AJ$19</f>
        <v>Note 5</v>
      </c>
    </row>
    <row r="399" spans="1:14" x14ac:dyDescent="0.35">
      <c r="A399" s="368" t="str">
        <f>'Summary (READ FIRST)'!$B$8</f>
        <v>Supplier 1</v>
      </c>
      <c r="B399" s="367" t="str">
        <f>'Summary (READ FIRST)'!$B$11</f>
        <v>English</v>
      </c>
      <c r="C399" s="367" t="s">
        <v>45</v>
      </c>
      <c r="D399" s="367" t="s">
        <v>30</v>
      </c>
      <c r="E399" s="367" t="s">
        <v>16</v>
      </c>
      <c r="F399" s="367" t="s">
        <v>40</v>
      </c>
      <c r="G399" s="382">
        <f>VO!O19</f>
        <v>77</v>
      </c>
      <c r="H399" s="382">
        <f>VO!Q19</f>
        <v>0</v>
      </c>
      <c r="I399" s="382"/>
      <c r="J399" s="382">
        <f>VO!$AE$19</f>
        <v>1</v>
      </c>
      <c r="K399" s="382">
        <f>VO!$AF$19</f>
        <v>0.5</v>
      </c>
      <c r="L399" s="382" t="str">
        <f>VO!$AH$19</f>
        <v>Automated system</v>
      </c>
      <c r="M399" s="407">
        <f>VO!$AI$19</f>
        <v>0.2</v>
      </c>
      <c r="N399" s="391" t="str">
        <f>VO!$AJ$19</f>
        <v>Note 5</v>
      </c>
    </row>
    <row r="400" spans="1:14" x14ac:dyDescent="0.35">
      <c r="A400" s="368" t="str">
        <f>'Summary (READ FIRST)'!$B$8</f>
        <v>Supplier 1</v>
      </c>
      <c r="B400" s="367" t="str">
        <f>'Summary (READ FIRST)'!$B$11</f>
        <v>English</v>
      </c>
      <c r="C400" s="367" t="s">
        <v>45</v>
      </c>
      <c r="D400" s="367" t="s">
        <v>30</v>
      </c>
      <c r="E400" s="367" t="s">
        <v>16</v>
      </c>
      <c r="F400" s="367" t="s">
        <v>41</v>
      </c>
      <c r="G400" s="382">
        <f>VO!P19</f>
        <v>57</v>
      </c>
      <c r="H400" s="382">
        <f>VO!R19</f>
        <v>28</v>
      </c>
      <c r="I400" s="382"/>
      <c r="J400" s="382">
        <f>VO!$AE$19</f>
        <v>1</v>
      </c>
      <c r="K400" s="382">
        <f>VO!$AF$19</f>
        <v>0.5</v>
      </c>
      <c r="L400" s="382" t="str">
        <f>VO!$AH$19</f>
        <v>Automated system</v>
      </c>
      <c r="M400" s="407">
        <f>VO!$AI$19</f>
        <v>0.2</v>
      </c>
      <c r="N400" s="391" t="str">
        <f>VO!$AJ$19</f>
        <v>Note 5</v>
      </c>
    </row>
    <row r="401" spans="1:14" x14ac:dyDescent="0.35">
      <c r="A401" s="368" t="str">
        <f>'Summary (READ FIRST)'!$B$8</f>
        <v>Supplier 1</v>
      </c>
      <c r="B401" s="367" t="str">
        <f>'Summary (READ FIRST)'!$B$11</f>
        <v>English</v>
      </c>
      <c r="C401" s="367" t="s">
        <v>45</v>
      </c>
      <c r="D401" s="367" t="s">
        <v>30</v>
      </c>
      <c r="E401" s="367" t="s">
        <v>20</v>
      </c>
      <c r="F401" s="367" t="s">
        <v>42</v>
      </c>
      <c r="G401" s="382">
        <f>VO!T19</f>
        <v>51</v>
      </c>
      <c r="H401" s="382">
        <f>VO!V19</f>
        <v>0</v>
      </c>
      <c r="I401" s="384">
        <f>VO!X19</f>
        <v>33</v>
      </c>
      <c r="J401" s="382">
        <f>VO!$AE$19</f>
        <v>1</v>
      </c>
      <c r="K401" s="382">
        <f>VO!$AF$19</f>
        <v>0.5</v>
      </c>
      <c r="L401" s="382" t="str">
        <f>VO!$AH$19</f>
        <v>Automated system</v>
      </c>
      <c r="M401" s="407">
        <f>VO!$AI$19</f>
        <v>0.2</v>
      </c>
      <c r="N401" s="391" t="str">
        <f>VO!$AJ$19</f>
        <v>Note 5</v>
      </c>
    </row>
    <row r="402" spans="1:14" x14ac:dyDescent="0.35">
      <c r="A402" s="368" t="str">
        <f>'Summary (READ FIRST)'!$B$8</f>
        <v>Supplier 1</v>
      </c>
      <c r="B402" s="367" t="str">
        <f>'Summary (READ FIRST)'!$B$11</f>
        <v>English</v>
      </c>
      <c r="C402" s="367" t="s">
        <v>45</v>
      </c>
      <c r="D402" s="367" t="s">
        <v>30</v>
      </c>
      <c r="E402" s="367" t="s">
        <v>20</v>
      </c>
      <c r="F402" s="367" t="s">
        <v>43</v>
      </c>
      <c r="G402" s="382">
        <f>VO!U19</f>
        <v>0</v>
      </c>
      <c r="H402" s="382">
        <f>VO!W19</f>
        <v>37</v>
      </c>
      <c r="I402" s="384">
        <f>VO!Y19</f>
        <v>37</v>
      </c>
      <c r="J402" s="382">
        <f>VO!$AE$19</f>
        <v>1</v>
      </c>
      <c r="K402" s="382">
        <f>VO!$AF$19</f>
        <v>0.5</v>
      </c>
      <c r="L402" s="382" t="str">
        <f>VO!$AH$19</f>
        <v>Automated system</v>
      </c>
      <c r="M402" s="407">
        <f>VO!$AI$19</f>
        <v>0.2</v>
      </c>
      <c r="N402" s="391" t="str">
        <f>VO!$AJ$19</f>
        <v>Note 5</v>
      </c>
    </row>
    <row r="403" spans="1:14" x14ac:dyDescent="0.35">
      <c r="A403" s="368" t="str">
        <f>'Summary (READ FIRST)'!$B$8</f>
        <v>Supplier 1</v>
      </c>
      <c r="B403" s="367" t="str">
        <f>'Summary (READ FIRST)'!$B$11</f>
        <v>English</v>
      </c>
      <c r="C403" s="367" t="s">
        <v>45</v>
      </c>
      <c r="D403" s="367" t="s">
        <v>30</v>
      </c>
      <c r="E403" s="367" t="s">
        <v>20</v>
      </c>
      <c r="F403" s="367" t="s">
        <v>23</v>
      </c>
      <c r="G403" s="382">
        <f>VO!AA19</f>
        <v>60</v>
      </c>
      <c r="H403" s="382">
        <f>VO!AB19</f>
        <v>27</v>
      </c>
      <c r="I403" s="384">
        <f>VO!AC19</f>
        <v>55</v>
      </c>
      <c r="J403" s="382">
        <f>VO!$AE$19</f>
        <v>1</v>
      </c>
      <c r="K403" s="382">
        <f>VO!$AF$19</f>
        <v>0.5</v>
      </c>
      <c r="L403" s="382" t="str">
        <f>VO!$AH$19</f>
        <v>Automated system</v>
      </c>
      <c r="M403" s="407">
        <f>VO!$AI$19</f>
        <v>0.2</v>
      </c>
      <c r="N403" s="391" t="str">
        <f>VO!$AJ$19</f>
        <v>Note 5</v>
      </c>
    </row>
    <row r="404" spans="1:14" x14ac:dyDescent="0.35">
      <c r="A404" s="371" t="str">
        <f>'Summary (READ FIRST)'!$B$8</f>
        <v>Supplier 1</v>
      </c>
      <c r="B404" s="366" t="str">
        <f>'Summary (READ FIRST)'!$B$11</f>
        <v>English</v>
      </c>
      <c r="C404" s="366" t="s">
        <v>45</v>
      </c>
      <c r="D404" s="366" t="s">
        <v>31</v>
      </c>
      <c r="E404" s="366" t="s">
        <v>16</v>
      </c>
      <c r="F404" s="366" t="s">
        <v>46</v>
      </c>
      <c r="G404" s="382">
        <f>VO!E20</f>
        <v>62</v>
      </c>
      <c r="H404" s="382">
        <f>VO!G20</f>
        <v>21</v>
      </c>
      <c r="I404" s="382"/>
      <c r="J404" s="382">
        <f>VO!$AE$20</f>
        <v>1</v>
      </c>
      <c r="K404" s="382">
        <f>VO!$AF$20</f>
        <v>0</v>
      </c>
      <c r="L404" s="382">
        <f>VO!$AH$20</f>
        <v>0</v>
      </c>
      <c r="M404" s="407">
        <f>VO!$AI$20</f>
        <v>0</v>
      </c>
      <c r="N404" s="391">
        <f>VO!$AJ$20</f>
        <v>0</v>
      </c>
    </row>
    <row r="405" spans="1:14" x14ac:dyDescent="0.35">
      <c r="A405" s="368" t="str">
        <f>'Summary (READ FIRST)'!$B$8</f>
        <v>Supplier 1</v>
      </c>
      <c r="B405" s="367" t="str">
        <f>'Summary (READ FIRST)'!$B$11</f>
        <v>English</v>
      </c>
      <c r="C405" s="367" t="s">
        <v>45</v>
      </c>
      <c r="D405" s="367" t="s">
        <v>31</v>
      </c>
      <c r="E405" s="367" t="s">
        <v>16</v>
      </c>
      <c r="F405" s="367" t="s">
        <v>47</v>
      </c>
      <c r="G405" s="382">
        <f>VO!F20</f>
        <v>42</v>
      </c>
      <c r="H405" s="382">
        <f>VO!H20</f>
        <v>0</v>
      </c>
      <c r="I405" s="382"/>
      <c r="J405" s="382">
        <f>VO!$AE$20</f>
        <v>1</v>
      </c>
      <c r="K405" s="382">
        <f>VO!$AF$20</f>
        <v>0</v>
      </c>
      <c r="L405" s="382">
        <f>VO!$AH$20</f>
        <v>0</v>
      </c>
      <c r="M405" s="407">
        <f>VO!$AI$20</f>
        <v>0</v>
      </c>
      <c r="N405" s="391">
        <f>VO!$AJ$20</f>
        <v>0</v>
      </c>
    </row>
    <row r="406" spans="1:14" x14ac:dyDescent="0.35">
      <c r="A406" s="368" t="str">
        <f>'Summary (READ FIRST)'!$B$8</f>
        <v>Supplier 1</v>
      </c>
      <c r="B406" s="367" t="str">
        <f>'Summary (READ FIRST)'!$B$11</f>
        <v>English</v>
      </c>
      <c r="C406" s="367" t="s">
        <v>45</v>
      </c>
      <c r="D406" s="367" t="s">
        <v>31</v>
      </c>
      <c r="E406" s="367" t="s">
        <v>16</v>
      </c>
      <c r="F406" s="367" t="s">
        <v>38</v>
      </c>
      <c r="G406" s="382">
        <f>VO!J20</f>
        <v>46</v>
      </c>
      <c r="H406" s="382">
        <f>VO!L20</f>
        <v>23</v>
      </c>
      <c r="I406" s="382"/>
      <c r="J406" s="382">
        <f>VO!$AE$20</f>
        <v>1</v>
      </c>
      <c r="K406" s="382">
        <f>VO!$AF$20</f>
        <v>0</v>
      </c>
      <c r="L406" s="382">
        <f>VO!$AH$20</f>
        <v>0</v>
      </c>
      <c r="M406" s="407">
        <f>VO!$AI$20</f>
        <v>0</v>
      </c>
      <c r="N406" s="391">
        <f>VO!$AJ$20</f>
        <v>0</v>
      </c>
    </row>
    <row r="407" spans="1:14" x14ac:dyDescent="0.35">
      <c r="A407" s="368" t="str">
        <f>'Summary (READ FIRST)'!$B$8</f>
        <v>Supplier 1</v>
      </c>
      <c r="B407" s="367" t="str">
        <f>'Summary (READ FIRST)'!$B$11</f>
        <v>English</v>
      </c>
      <c r="C407" s="367" t="s">
        <v>45</v>
      </c>
      <c r="D407" s="367" t="s">
        <v>31</v>
      </c>
      <c r="E407" s="367" t="s">
        <v>16</v>
      </c>
      <c r="F407" s="367" t="s">
        <v>39</v>
      </c>
      <c r="G407" s="382">
        <f>VO!K20</f>
        <v>53</v>
      </c>
      <c r="H407" s="382">
        <f>VO!M20</f>
        <v>29</v>
      </c>
      <c r="I407" s="382"/>
      <c r="J407" s="382">
        <f>VO!$AE$20</f>
        <v>1</v>
      </c>
      <c r="K407" s="382">
        <f>VO!$AF$20</f>
        <v>0</v>
      </c>
      <c r="L407" s="382">
        <f>VO!$AH$20</f>
        <v>0</v>
      </c>
      <c r="M407" s="407">
        <f>VO!$AI$20</f>
        <v>0</v>
      </c>
      <c r="N407" s="391">
        <f>VO!$AJ$20</f>
        <v>0</v>
      </c>
    </row>
    <row r="408" spans="1:14" x14ac:dyDescent="0.35">
      <c r="A408" s="368" t="str">
        <f>'Summary (READ FIRST)'!$B$8</f>
        <v>Supplier 1</v>
      </c>
      <c r="B408" s="367" t="str">
        <f>'Summary (READ FIRST)'!$B$11</f>
        <v>English</v>
      </c>
      <c r="C408" s="367" t="s">
        <v>45</v>
      </c>
      <c r="D408" s="367" t="s">
        <v>31</v>
      </c>
      <c r="E408" s="367" t="s">
        <v>16</v>
      </c>
      <c r="F408" s="367" t="s">
        <v>40</v>
      </c>
      <c r="G408" s="382">
        <f>VO!O20</f>
        <v>37</v>
      </c>
      <c r="H408" s="382">
        <f>VO!Q20</f>
        <v>27</v>
      </c>
      <c r="I408" s="382"/>
      <c r="J408" s="382">
        <f>VO!$AE$20</f>
        <v>1</v>
      </c>
      <c r="K408" s="382">
        <f>VO!$AF$20</f>
        <v>0</v>
      </c>
      <c r="L408" s="382">
        <f>VO!$AH$20</f>
        <v>0</v>
      </c>
      <c r="M408" s="407">
        <f>VO!$AI$20</f>
        <v>0</v>
      </c>
      <c r="N408" s="391">
        <f>VO!$AJ$20</f>
        <v>0</v>
      </c>
    </row>
    <row r="409" spans="1:14" x14ac:dyDescent="0.35">
      <c r="A409" s="368" t="str">
        <f>'Summary (READ FIRST)'!$B$8</f>
        <v>Supplier 1</v>
      </c>
      <c r="B409" s="367" t="str">
        <f>'Summary (READ FIRST)'!$B$11</f>
        <v>English</v>
      </c>
      <c r="C409" s="367" t="s">
        <v>45</v>
      </c>
      <c r="D409" s="367" t="s">
        <v>31</v>
      </c>
      <c r="E409" s="367" t="s">
        <v>16</v>
      </c>
      <c r="F409" s="367" t="s">
        <v>41</v>
      </c>
      <c r="G409" s="382">
        <f>VO!P20</f>
        <v>0</v>
      </c>
      <c r="H409" s="382">
        <f>VO!R20</f>
        <v>27</v>
      </c>
      <c r="I409" s="382"/>
      <c r="J409" s="382">
        <f>VO!$AE$20</f>
        <v>1</v>
      </c>
      <c r="K409" s="382">
        <f>VO!$AF$20</f>
        <v>0</v>
      </c>
      <c r="L409" s="382">
        <f>VO!$AH$20</f>
        <v>0</v>
      </c>
      <c r="M409" s="407">
        <f>VO!$AI$20</f>
        <v>0</v>
      </c>
      <c r="N409" s="391">
        <f>VO!$AJ$20</f>
        <v>0</v>
      </c>
    </row>
    <row r="410" spans="1:14" x14ac:dyDescent="0.35">
      <c r="A410" s="368" t="str">
        <f>'Summary (READ FIRST)'!$B$8</f>
        <v>Supplier 1</v>
      </c>
      <c r="B410" s="367" t="str">
        <f>'Summary (READ FIRST)'!$B$11</f>
        <v>English</v>
      </c>
      <c r="C410" s="367" t="s">
        <v>45</v>
      </c>
      <c r="D410" s="367" t="s">
        <v>31</v>
      </c>
      <c r="E410" s="367" t="s">
        <v>20</v>
      </c>
      <c r="F410" s="367" t="s">
        <v>42</v>
      </c>
      <c r="G410" s="382">
        <f>VO!T20</f>
        <v>50</v>
      </c>
      <c r="H410" s="382">
        <f>VO!V20</f>
        <v>54</v>
      </c>
      <c r="I410" s="384">
        <f>VO!X20</f>
        <v>78</v>
      </c>
      <c r="J410" s="382">
        <f>VO!$AE$20</f>
        <v>1</v>
      </c>
      <c r="K410" s="382">
        <f>VO!$AF$20</f>
        <v>0</v>
      </c>
      <c r="L410" s="382">
        <f>VO!$AH$20</f>
        <v>0</v>
      </c>
      <c r="M410" s="407">
        <f>VO!$AI$20</f>
        <v>0</v>
      </c>
      <c r="N410" s="391">
        <f>VO!$AJ$20</f>
        <v>0</v>
      </c>
    </row>
    <row r="411" spans="1:14" x14ac:dyDescent="0.35">
      <c r="A411" s="368" t="str">
        <f>'Summary (READ FIRST)'!$B$8</f>
        <v>Supplier 1</v>
      </c>
      <c r="B411" s="367" t="str">
        <f>'Summary (READ FIRST)'!$B$11</f>
        <v>English</v>
      </c>
      <c r="C411" s="367" t="s">
        <v>45</v>
      </c>
      <c r="D411" s="367" t="s">
        <v>31</v>
      </c>
      <c r="E411" s="367" t="s">
        <v>20</v>
      </c>
      <c r="F411" s="367" t="s">
        <v>43</v>
      </c>
      <c r="G411" s="382">
        <f>VO!U20</f>
        <v>45</v>
      </c>
      <c r="H411" s="382">
        <f>VO!W20</f>
        <v>43</v>
      </c>
      <c r="I411" s="384">
        <f>VO!Y20</f>
        <v>0</v>
      </c>
      <c r="J411" s="382">
        <f>VO!$AE$20</f>
        <v>1</v>
      </c>
      <c r="K411" s="382">
        <f>VO!$AF$20</f>
        <v>0</v>
      </c>
      <c r="L411" s="382">
        <f>VO!$AH$20</f>
        <v>0</v>
      </c>
      <c r="M411" s="407">
        <f>VO!$AI$20</f>
        <v>0</v>
      </c>
      <c r="N411" s="391">
        <f>VO!$AJ$20</f>
        <v>0</v>
      </c>
    </row>
    <row r="412" spans="1:14" x14ac:dyDescent="0.35">
      <c r="A412" s="368" t="str">
        <f>'Summary (READ FIRST)'!$B$8</f>
        <v>Supplier 1</v>
      </c>
      <c r="B412" s="367" t="str">
        <f>'Summary (READ FIRST)'!$B$11</f>
        <v>English</v>
      </c>
      <c r="C412" s="367" t="s">
        <v>45</v>
      </c>
      <c r="D412" s="367" t="s">
        <v>31</v>
      </c>
      <c r="E412" s="367" t="s">
        <v>20</v>
      </c>
      <c r="F412" s="367" t="s">
        <v>23</v>
      </c>
      <c r="G412" s="382">
        <f>VO!AA20</f>
        <v>0</v>
      </c>
      <c r="H412" s="382">
        <f>VO!AB20</f>
        <v>34</v>
      </c>
      <c r="I412" s="384">
        <f>VO!AC20</f>
        <v>40</v>
      </c>
      <c r="J412" s="382">
        <f>VO!$AE$20</f>
        <v>1</v>
      </c>
      <c r="K412" s="382">
        <f>VO!$AF$20</f>
        <v>0</v>
      </c>
      <c r="L412" s="382">
        <f>VO!$AH$20</f>
        <v>0</v>
      </c>
      <c r="M412" s="407">
        <f>VO!$AI$20</f>
        <v>0</v>
      </c>
      <c r="N412" s="391">
        <f>VO!$AJ$20</f>
        <v>0</v>
      </c>
    </row>
    <row r="413" spans="1:14" x14ac:dyDescent="0.35">
      <c r="A413" s="371" t="str">
        <f>'Summary (READ FIRST)'!$B$8</f>
        <v>Supplier 1</v>
      </c>
      <c r="B413" s="366" t="str">
        <f>'Summary (READ FIRST)'!$B$11</f>
        <v>English</v>
      </c>
      <c r="C413" s="366" t="s">
        <v>45</v>
      </c>
      <c r="D413" s="366" t="s">
        <v>32</v>
      </c>
      <c r="E413" s="366" t="s">
        <v>16</v>
      </c>
      <c r="F413" s="366" t="s">
        <v>46</v>
      </c>
      <c r="G413" s="382">
        <f>VO!E21</f>
        <v>50</v>
      </c>
      <c r="H413" s="382">
        <f>VO!G21</f>
        <v>27</v>
      </c>
      <c r="I413" s="382"/>
      <c r="J413" s="382">
        <f>VO!$AE$21</f>
        <v>0</v>
      </c>
      <c r="K413" s="382">
        <f>VO!$AF$21</f>
        <v>0.5</v>
      </c>
      <c r="L413" s="382" t="str">
        <f>VO!$AH$21</f>
        <v>Workflow</v>
      </c>
      <c r="M413" s="407">
        <f>VO!$AI$21</f>
        <v>0.15</v>
      </c>
      <c r="N413" s="391" t="str">
        <f>VO!$AJ$21</f>
        <v>Note 5</v>
      </c>
    </row>
    <row r="414" spans="1:14" x14ac:dyDescent="0.35">
      <c r="A414" s="368" t="str">
        <f>'Summary (READ FIRST)'!$B$8</f>
        <v>Supplier 1</v>
      </c>
      <c r="B414" s="367" t="str">
        <f>'Summary (READ FIRST)'!$B$11</f>
        <v>English</v>
      </c>
      <c r="C414" s="367" t="s">
        <v>45</v>
      </c>
      <c r="D414" s="367" t="s">
        <v>32</v>
      </c>
      <c r="E414" s="367" t="s">
        <v>16</v>
      </c>
      <c r="F414" s="367" t="s">
        <v>47</v>
      </c>
      <c r="G414" s="382">
        <f>VO!F21</f>
        <v>46</v>
      </c>
      <c r="H414" s="382">
        <f>VO!H21</f>
        <v>21</v>
      </c>
      <c r="I414" s="382"/>
      <c r="J414" s="382">
        <f>VO!$AE$21</f>
        <v>0</v>
      </c>
      <c r="K414" s="382">
        <f>VO!$AF$21</f>
        <v>0.5</v>
      </c>
      <c r="L414" s="382" t="str">
        <f>VO!$AH$21</f>
        <v>Workflow</v>
      </c>
      <c r="M414" s="407">
        <f>VO!$AI$21</f>
        <v>0.15</v>
      </c>
      <c r="N414" s="391" t="str">
        <f>VO!$AJ$21</f>
        <v>Note 5</v>
      </c>
    </row>
    <row r="415" spans="1:14" x14ac:dyDescent="0.35">
      <c r="A415" s="368" t="str">
        <f>'Summary (READ FIRST)'!$B$8</f>
        <v>Supplier 1</v>
      </c>
      <c r="B415" s="367" t="str">
        <f>'Summary (READ FIRST)'!$B$11</f>
        <v>English</v>
      </c>
      <c r="C415" s="367" t="s">
        <v>45</v>
      </c>
      <c r="D415" s="367" t="s">
        <v>32</v>
      </c>
      <c r="E415" s="367" t="s">
        <v>16</v>
      </c>
      <c r="F415" s="367" t="s">
        <v>38</v>
      </c>
      <c r="G415" s="382">
        <f>VO!J21</f>
        <v>0</v>
      </c>
      <c r="H415" s="382">
        <f>VO!L21</f>
        <v>0</v>
      </c>
      <c r="I415" s="382"/>
      <c r="J415" s="382">
        <f>VO!$AE$21</f>
        <v>0</v>
      </c>
      <c r="K415" s="382">
        <f>VO!$AF$21</f>
        <v>0.5</v>
      </c>
      <c r="L415" s="382" t="str">
        <f>VO!$AH$21</f>
        <v>Workflow</v>
      </c>
      <c r="M415" s="407">
        <f>VO!$AI$21</f>
        <v>0.15</v>
      </c>
      <c r="N415" s="391" t="str">
        <f>VO!$AJ$21</f>
        <v>Note 5</v>
      </c>
    </row>
    <row r="416" spans="1:14" x14ac:dyDescent="0.35">
      <c r="A416" s="368" t="str">
        <f>'Summary (READ FIRST)'!$B$8</f>
        <v>Supplier 1</v>
      </c>
      <c r="B416" s="367" t="str">
        <f>'Summary (READ FIRST)'!$B$11</f>
        <v>English</v>
      </c>
      <c r="C416" s="367" t="s">
        <v>45</v>
      </c>
      <c r="D416" s="367" t="s">
        <v>32</v>
      </c>
      <c r="E416" s="367" t="s">
        <v>16</v>
      </c>
      <c r="F416" s="367" t="s">
        <v>39</v>
      </c>
      <c r="G416" s="382">
        <f>VO!K21</f>
        <v>54</v>
      </c>
      <c r="H416" s="382">
        <f>VO!M21</f>
        <v>0</v>
      </c>
      <c r="I416" s="382"/>
      <c r="J416" s="382">
        <f>VO!$AE$21</f>
        <v>0</v>
      </c>
      <c r="K416" s="382">
        <f>VO!$AF$21</f>
        <v>0.5</v>
      </c>
      <c r="L416" s="382" t="str">
        <f>VO!$AH$21</f>
        <v>Workflow</v>
      </c>
      <c r="M416" s="407">
        <f>VO!$AI$21</f>
        <v>0.15</v>
      </c>
      <c r="N416" s="391" t="str">
        <f>VO!$AJ$21</f>
        <v>Note 5</v>
      </c>
    </row>
    <row r="417" spans="1:14" x14ac:dyDescent="0.35">
      <c r="A417" s="368" t="str">
        <f>'Summary (READ FIRST)'!$B$8</f>
        <v>Supplier 1</v>
      </c>
      <c r="B417" s="367" t="str">
        <f>'Summary (READ FIRST)'!$B$11</f>
        <v>English</v>
      </c>
      <c r="C417" s="367" t="s">
        <v>45</v>
      </c>
      <c r="D417" s="367" t="s">
        <v>32</v>
      </c>
      <c r="E417" s="367" t="s">
        <v>16</v>
      </c>
      <c r="F417" s="367" t="s">
        <v>40</v>
      </c>
      <c r="G417" s="382">
        <f>VO!O21</f>
        <v>0</v>
      </c>
      <c r="H417" s="382">
        <f>VO!Q21</f>
        <v>46</v>
      </c>
      <c r="I417" s="382"/>
      <c r="J417" s="382">
        <f>VO!$AE$21</f>
        <v>0</v>
      </c>
      <c r="K417" s="382">
        <f>VO!$AF$21</f>
        <v>0.5</v>
      </c>
      <c r="L417" s="382" t="str">
        <f>VO!$AH$21</f>
        <v>Workflow</v>
      </c>
      <c r="M417" s="407">
        <f>VO!$AI$21</f>
        <v>0.15</v>
      </c>
      <c r="N417" s="391" t="str">
        <f>VO!$AJ$21</f>
        <v>Note 5</v>
      </c>
    </row>
    <row r="418" spans="1:14" x14ac:dyDescent="0.35">
      <c r="A418" s="368" t="str">
        <f>'Summary (READ FIRST)'!$B$8</f>
        <v>Supplier 1</v>
      </c>
      <c r="B418" s="367" t="str">
        <f>'Summary (READ FIRST)'!$B$11</f>
        <v>English</v>
      </c>
      <c r="C418" s="367" t="s">
        <v>45</v>
      </c>
      <c r="D418" s="367" t="s">
        <v>32</v>
      </c>
      <c r="E418" s="367" t="s">
        <v>16</v>
      </c>
      <c r="F418" s="367" t="s">
        <v>41</v>
      </c>
      <c r="G418" s="382">
        <f>VO!P21</f>
        <v>58</v>
      </c>
      <c r="H418" s="382">
        <f>VO!R21</f>
        <v>0</v>
      </c>
      <c r="I418" s="382"/>
      <c r="J418" s="382">
        <f>VO!$AE$21</f>
        <v>0</v>
      </c>
      <c r="K418" s="382">
        <f>VO!$AF$21</f>
        <v>0.5</v>
      </c>
      <c r="L418" s="382" t="str">
        <f>VO!$AH$21</f>
        <v>Workflow</v>
      </c>
      <c r="M418" s="407">
        <f>VO!$AI$21</f>
        <v>0.15</v>
      </c>
      <c r="N418" s="391" t="str">
        <f>VO!$AJ$21</f>
        <v>Note 5</v>
      </c>
    </row>
    <row r="419" spans="1:14" x14ac:dyDescent="0.35">
      <c r="A419" s="368" t="str">
        <f>'Summary (READ FIRST)'!$B$8</f>
        <v>Supplier 1</v>
      </c>
      <c r="B419" s="367" t="str">
        <f>'Summary (READ FIRST)'!$B$11</f>
        <v>English</v>
      </c>
      <c r="C419" s="367" t="s">
        <v>45</v>
      </c>
      <c r="D419" s="367" t="s">
        <v>32</v>
      </c>
      <c r="E419" s="367" t="s">
        <v>20</v>
      </c>
      <c r="F419" s="367" t="s">
        <v>42</v>
      </c>
      <c r="G419" s="382">
        <f>VO!T21</f>
        <v>0</v>
      </c>
      <c r="H419" s="382">
        <f>VO!V21</f>
        <v>43</v>
      </c>
      <c r="I419" s="384">
        <f>VO!X21</f>
        <v>0</v>
      </c>
      <c r="J419" s="382">
        <f>VO!$AE$21</f>
        <v>0</v>
      </c>
      <c r="K419" s="382">
        <f>VO!$AF$21</f>
        <v>0.5</v>
      </c>
      <c r="L419" s="382" t="str">
        <f>VO!$AH$21</f>
        <v>Workflow</v>
      </c>
      <c r="M419" s="407">
        <f>VO!$AI$21</f>
        <v>0.15</v>
      </c>
      <c r="N419" s="391" t="str">
        <f>VO!$AJ$21</f>
        <v>Note 5</v>
      </c>
    </row>
    <row r="420" spans="1:14" x14ac:dyDescent="0.35">
      <c r="A420" s="368" t="str">
        <f>'Summary (READ FIRST)'!$B$8</f>
        <v>Supplier 1</v>
      </c>
      <c r="B420" s="367" t="str">
        <f>'Summary (READ FIRST)'!$B$11</f>
        <v>English</v>
      </c>
      <c r="C420" s="367" t="s">
        <v>45</v>
      </c>
      <c r="D420" s="367" t="s">
        <v>32</v>
      </c>
      <c r="E420" s="367" t="s">
        <v>20</v>
      </c>
      <c r="F420" s="367" t="s">
        <v>43</v>
      </c>
      <c r="G420" s="382">
        <f>VO!U21</f>
        <v>75</v>
      </c>
      <c r="H420" s="382">
        <f>VO!W21</f>
        <v>29</v>
      </c>
      <c r="I420" s="384">
        <f>VO!Y21</f>
        <v>51</v>
      </c>
      <c r="J420" s="382">
        <f>VO!$AE$21</f>
        <v>0</v>
      </c>
      <c r="K420" s="382">
        <f>VO!$AF$21</f>
        <v>0.5</v>
      </c>
      <c r="L420" s="382" t="str">
        <f>VO!$AH$21</f>
        <v>Workflow</v>
      </c>
      <c r="M420" s="407">
        <f>VO!$AI$21</f>
        <v>0.15</v>
      </c>
      <c r="N420" s="391" t="str">
        <f>VO!$AJ$21</f>
        <v>Note 5</v>
      </c>
    </row>
    <row r="421" spans="1:14" x14ac:dyDescent="0.35">
      <c r="A421" s="368" t="str">
        <f>'Summary (READ FIRST)'!$B$8</f>
        <v>Supplier 1</v>
      </c>
      <c r="B421" s="367" t="str">
        <f>'Summary (READ FIRST)'!$B$11</f>
        <v>English</v>
      </c>
      <c r="C421" s="367" t="s">
        <v>45</v>
      </c>
      <c r="D421" s="367" t="s">
        <v>32</v>
      </c>
      <c r="E421" s="367" t="s">
        <v>20</v>
      </c>
      <c r="F421" s="367" t="s">
        <v>23</v>
      </c>
      <c r="G421" s="382">
        <f>VO!AA21</f>
        <v>68</v>
      </c>
      <c r="H421" s="382">
        <f>VO!AB21</f>
        <v>59</v>
      </c>
      <c r="I421" s="384">
        <f>VO!AC21</f>
        <v>0</v>
      </c>
      <c r="J421" s="382">
        <f>VO!$AE$21</f>
        <v>0</v>
      </c>
      <c r="K421" s="382">
        <f>VO!$AF$21</f>
        <v>0.5</v>
      </c>
      <c r="L421" s="382" t="str">
        <f>VO!$AH$21</f>
        <v>Workflow</v>
      </c>
      <c r="M421" s="407">
        <f>VO!$AI$21</f>
        <v>0.15</v>
      </c>
      <c r="N421" s="391" t="str">
        <f>VO!$AJ$21</f>
        <v>Note 5</v>
      </c>
    </row>
    <row r="422" spans="1:14" x14ac:dyDescent="0.35">
      <c r="A422" s="371" t="str">
        <f>'Summary (READ FIRST)'!$B$8</f>
        <v>Supplier 1</v>
      </c>
      <c r="B422" s="366" t="str">
        <f>'Summary (READ FIRST)'!$B$11</f>
        <v>English</v>
      </c>
      <c r="C422" s="366" t="s">
        <v>45</v>
      </c>
      <c r="D422" s="366" t="s">
        <v>33</v>
      </c>
      <c r="E422" s="366" t="s">
        <v>16</v>
      </c>
      <c r="F422" s="366" t="s">
        <v>46</v>
      </c>
      <c r="G422" s="382">
        <f>VO!E22</f>
        <v>51</v>
      </c>
      <c r="H422" s="382">
        <f>VO!G22</f>
        <v>50</v>
      </c>
      <c r="I422" s="382"/>
      <c r="J422" s="382">
        <f>VO!$AE$22</f>
        <v>1</v>
      </c>
      <c r="K422" s="382">
        <f>VO!$AF$22</f>
        <v>0.5</v>
      </c>
      <c r="L422" s="382" t="str">
        <f>VO!$AH$22</f>
        <v>Tools</v>
      </c>
      <c r="M422" s="407">
        <f>VO!$AI$22</f>
        <v>0.1</v>
      </c>
      <c r="N422" s="391" t="str">
        <f>VO!$AJ$22</f>
        <v>Note 5</v>
      </c>
    </row>
    <row r="423" spans="1:14" x14ac:dyDescent="0.35">
      <c r="A423" s="368" t="str">
        <f>'Summary (READ FIRST)'!$B$8</f>
        <v>Supplier 1</v>
      </c>
      <c r="B423" s="367" t="str">
        <f>'Summary (READ FIRST)'!$B$11</f>
        <v>English</v>
      </c>
      <c r="C423" s="367" t="s">
        <v>45</v>
      </c>
      <c r="D423" s="367" t="s">
        <v>33</v>
      </c>
      <c r="E423" s="367" t="s">
        <v>16</v>
      </c>
      <c r="F423" s="367" t="s">
        <v>47</v>
      </c>
      <c r="G423" s="382">
        <f>VO!F22</f>
        <v>76</v>
      </c>
      <c r="H423" s="382">
        <f>VO!H22</f>
        <v>44</v>
      </c>
      <c r="I423" s="382"/>
      <c r="J423" s="382">
        <f>VO!$AE$22</f>
        <v>1</v>
      </c>
      <c r="K423" s="382">
        <f>VO!$AF$22</f>
        <v>0.5</v>
      </c>
      <c r="L423" s="382" t="str">
        <f>VO!$AH$22</f>
        <v>Tools</v>
      </c>
      <c r="M423" s="407">
        <f>VO!$AI$22</f>
        <v>0.1</v>
      </c>
      <c r="N423" s="391" t="str">
        <f>VO!$AJ$22</f>
        <v>Note 5</v>
      </c>
    </row>
    <row r="424" spans="1:14" x14ac:dyDescent="0.35">
      <c r="A424" s="368" t="str">
        <f>'Summary (READ FIRST)'!$B$8</f>
        <v>Supplier 1</v>
      </c>
      <c r="B424" s="367" t="str">
        <f>'Summary (READ FIRST)'!$B$11</f>
        <v>English</v>
      </c>
      <c r="C424" s="367" t="s">
        <v>45</v>
      </c>
      <c r="D424" s="367" t="s">
        <v>33</v>
      </c>
      <c r="E424" s="367" t="s">
        <v>16</v>
      </c>
      <c r="F424" s="367" t="s">
        <v>38</v>
      </c>
      <c r="G424" s="382">
        <f>VO!J22</f>
        <v>43</v>
      </c>
      <c r="H424" s="382">
        <f>VO!L22</f>
        <v>33</v>
      </c>
      <c r="I424" s="382"/>
      <c r="J424" s="382">
        <f>VO!$AE$22</f>
        <v>1</v>
      </c>
      <c r="K424" s="382">
        <f>VO!$AF$22</f>
        <v>0.5</v>
      </c>
      <c r="L424" s="382" t="str">
        <f>VO!$AH$22</f>
        <v>Tools</v>
      </c>
      <c r="M424" s="407">
        <f>VO!$AI$22</f>
        <v>0.1</v>
      </c>
      <c r="N424" s="391" t="str">
        <f>VO!$AJ$22</f>
        <v>Note 5</v>
      </c>
    </row>
    <row r="425" spans="1:14" x14ac:dyDescent="0.35">
      <c r="A425" s="368" t="str">
        <f>'Summary (READ FIRST)'!$B$8</f>
        <v>Supplier 1</v>
      </c>
      <c r="B425" s="367" t="str">
        <f>'Summary (READ FIRST)'!$B$11</f>
        <v>English</v>
      </c>
      <c r="C425" s="367" t="s">
        <v>45</v>
      </c>
      <c r="D425" s="367" t="s">
        <v>33</v>
      </c>
      <c r="E425" s="367" t="s">
        <v>16</v>
      </c>
      <c r="F425" s="367" t="s">
        <v>39</v>
      </c>
      <c r="G425" s="382">
        <f>VO!K22</f>
        <v>0</v>
      </c>
      <c r="H425" s="382">
        <f>VO!M22</f>
        <v>42</v>
      </c>
      <c r="I425" s="382"/>
      <c r="J425" s="382">
        <f>VO!$AE$22</f>
        <v>1</v>
      </c>
      <c r="K425" s="382">
        <f>VO!$AF$22</f>
        <v>0.5</v>
      </c>
      <c r="L425" s="382" t="str">
        <f>VO!$AH$22</f>
        <v>Tools</v>
      </c>
      <c r="M425" s="407">
        <f>VO!$AI$22</f>
        <v>0.1</v>
      </c>
      <c r="N425" s="391" t="str">
        <f>VO!$AJ$22</f>
        <v>Note 5</v>
      </c>
    </row>
    <row r="426" spans="1:14" x14ac:dyDescent="0.35">
      <c r="A426" s="368" t="str">
        <f>'Summary (READ FIRST)'!$B$8</f>
        <v>Supplier 1</v>
      </c>
      <c r="B426" s="367" t="str">
        <f>'Summary (READ FIRST)'!$B$11</f>
        <v>English</v>
      </c>
      <c r="C426" s="367" t="s">
        <v>45</v>
      </c>
      <c r="D426" s="367" t="s">
        <v>33</v>
      </c>
      <c r="E426" s="367" t="s">
        <v>16</v>
      </c>
      <c r="F426" s="367" t="s">
        <v>40</v>
      </c>
      <c r="G426" s="382">
        <f>VO!O22</f>
        <v>57</v>
      </c>
      <c r="H426" s="382">
        <f>VO!Q22</f>
        <v>30</v>
      </c>
      <c r="I426" s="382"/>
      <c r="J426" s="382">
        <f>VO!$AE$22</f>
        <v>1</v>
      </c>
      <c r="K426" s="382">
        <f>VO!$AF$22</f>
        <v>0.5</v>
      </c>
      <c r="L426" s="382" t="str">
        <f>VO!$AH$22</f>
        <v>Tools</v>
      </c>
      <c r="M426" s="407">
        <f>VO!$AI$22</f>
        <v>0.1</v>
      </c>
      <c r="N426" s="391" t="str">
        <f>VO!$AJ$22</f>
        <v>Note 5</v>
      </c>
    </row>
    <row r="427" spans="1:14" x14ac:dyDescent="0.35">
      <c r="A427" s="368" t="str">
        <f>'Summary (READ FIRST)'!$B$8</f>
        <v>Supplier 1</v>
      </c>
      <c r="B427" s="367" t="str">
        <f>'Summary (READ FIRST)'!$B$11</f>
        <v>English</v>
      </c>
      <c r="C427" s="367" t="s">
        <v>45</v>
      </c>
      <c r="D427" s="367" t="s">
        <v>33</v>
      </c>
      <c r="E427" s="367" t="s">
        <v>16</v>
      </c>
      <c r="F427" s="367" t="s">
        <v>41</v>
      </c>
      <c r="G427" s="382">
        <f>VO!P22</f>
        <v>45</v>
      </c>
      <c r="H427" s="382">
        <f>VO!R22</f>
        <v>59</v>
      </c>
      <c r="I427" s="382"/>
      <c r="J427" s="382">
        <f>VO!$AE$22</f>
        <v>1</v>
      </c>
      <c r="K427" s="382">
        <f>VO!$AF$22</f>
        <v>0.5</v>
      </c>
      <c r="L427" s="382" t="str">
        <f>VO!$AH$22</f>
        <v>Tools</v>
      </c>
      <c r="M427" s="407">
        <f>VO!$AI$22</f>
        <v>0.1</v>
      </c>
      <c r="N427" s="391" t="str">
        <f>VO!$AJ$22</f>
        <v>Note 5</v>
      </c>
    </row>
    <row r="428" spans="1:14" x14ac:dyDescent="0.35">
      <c r="A428" s="368" t="str">
        <f>'Summary (READ FIRST)'!$B$8</f>
        <v>Supplier 1</v>
      </c>
      <c r="B428" s="367" t="str">
        <f>'Summary (READ FIRST)'!$B$11</f>
        <v>English</v>
      </c>
      <c r="C428" s="367" t="s">
        <v>45</v>
      </c>
      <c r="D428" s="367" t="s">
        <v>33</v>
      </c>
      <c r="E428" s="367" t="s">
        <v>20</v>
      </c>
      <c r="F428" s="367" t="s">
        <v>42</v>
      </c>
      <c r="G428" s="382">
        <f>VO!T22</f>
        <v>69</v>
      </c>
      <c r="H428" s="382">
        <f>VO!V22</f>
        <v>37</v>
      </c>
      <c r="I428" s="384">
        <f>VO!X22</f>
        <v>74</v>
      </c>
      <c r="J428" s="382">
        <f>VO!$AE$22</f>
        <v>1</v>
      </c>
      <c r="K428" s="382">
        <f>VO!$AF$22</f>
        <v>0.5</v>
      </c>
      <c r="L428" s="382" t="str">
        <f>VO!$AH$22</f>
        <v>Tools</v>
      </c>
      <c r="M428" s="407">
        <f>VO!$AI$22</f>
        <v>0.1</v>
      </c>
      <c r="N428" s="391" t="str">
        <f>VO!$AJ$22</f>
        <v>Note 5</v>
      </c>
    </row>
    <row r="429" spans="1:14" x14ac:dyDescent="0.35">
      <c r="A429" s="368" t="str">
        <f>'Summary (READ FIRST)'!$B$8</f>
        <v>Supplier 1</v>
      </c>
      <c r="B429" s="367" t="str">
        <f>'Summary (READ FIRST)'!$B$11</f>
        <v>English</v>
      </c>
      <c r="C429" s="367" t="s">
        <v>45</v>
      </c>
      <c r="D429" s="367" t="s">
        <v>33</v>
      </c>
      <c r="E429" s="367" t="s">
        <v>20</v>
      </c>
      <c r="F429" s="367" t="s">
        <v>43</v>
      </c>
      <c r="G429" s="382">
        <f>VO!U22</f>
        <v>60</v>
      </c>
      <c r="H429" s="382">
        <f>VO!W22</f>
        <v>37</v>
      </c>
      <c r="I429" s="384">
        <f>VO!Y22</f>
        <v>51</v>
      </c>
      <c r="J429" s="382">
        <f>VO!$AE$22</f>
        <v>1</v>
      </c>
      <c r="K429" s="382">
        <f>VO!$AF$22</f>
        <v>0.5</v>
      </c>
      <c r="L429" s="382" t="str">
        <f>VO!$AH$22</f>
        <v>Tools</v>
      </c>
      <c r="M429" s="407">
        <f>VO!$AI$22</f>
        <v>0.1</v>
      </c>
      <c r="N429" s="391" t="str">
        <f>VO!$AJ$22</f>
        <v>Note 5</v>
      </c>
    </row>
    <row r="430" spans="1:14" x14ac:dyDescent="0.35">
      <c r="A430" s="369" t="str">
        <f>'Summary (READ FIRST)'!$B$8</f>
        <v>Supplier 1</v>
      </c>
      <c r="B430" s="370" t="str">
        <f>'Summary (READ FIRST)'!$B$11</f>
        <v>English</v>
      </c>
      <c r="C430" s="370" t="s">
        <v>45</v>
      </c>
      <c r="D430" s="370" t="s">
        <v>33</v>
      </c>
      <c r="E430" s="370" t="s">
        <v>20</v>
      </c>
      <c r="F430" s="370" t="s">
        <v>23</v>
      </c>
      <c r="G430" s="382">
        <f>VO!AA22</f>
        <v>70</v>
      </c>
      <c r="H430" s="382">
        <f>VO!AB22</f>
        <v>28</v>
      </c>
      <c r="I430" s="384">
        <f>VO!AC22</f>
        <v>69</v>
      </c>
      <c r="J430" s="382">
        <f>VO!$AE$22</f>
        <v>1</v>
      </c>
      <c r="K430" s="382">
        <f>VO!$AF$22</f>
        <v>0.5</v>
      </c>
      <c r="L430" s="382" t="str">
        <f>VO!$AH$22</f>
        <v>Tools</v>
      </c>
      <c r="M430" s="407">
        <f>VO!$AI$22</f>
        <v>0.1</v>
      </c>
      <c r="N430" s="391" t="str">
        <f>VO!$AJ$22</f>
        <v>Note 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06867-A505-442C-B627-DDF450498E88}">
  <dimension ref="B1:J17"/>
  <sheetViews>
    <sheetView showGridLines="0" zoomScale="90" zoomScaleNormal="90" workbookViewId="0"/>
  </sheetViews>
  <sheetFormatPr defaultColWidth="9.1796875" defaultRowHeight="15.5" x14ac:dyDescent="0.35"/>
  <cols>
    <col min="1" max="1" width="5.26953125" style="350" customWidth="1"/>
    <col min="2" max="2" width="49.1796875" style="350" customWidth="1"/>
    <col min="3" max="9" width="9.1796875" style="350"/>
    <col min="10" max="10" width="20.453125" style="350" customWidth="1"/>
    <col min="11" max="16384" width="9.1796875" style="350"/>
  </cols>
  <sheetData>
    <row r="1" spans="2:10" ht="16" thickBot="1" x14ac:dyDescent="0.4"/>
    <row r="2" spans="2:10" ht="21" x14ac:dyDescent="0.35">
      <c r="B2" s="363" t="s">
        <v>48</v>
      </c>
      <c r="C2" s="351"/>
      <c r="D2" s="352"/>
      <c r="E2" s="352"/>
      <c r="F2" s="353"/>
      <c r="G2" s="353"/>
      <c r="H2" s="353"/>
      <c r="I2" s="353"/>
      <c r="J2" s="354"/>
    </row>
    <row r="3" spans="2:10" x14ac:dyDescent="0.35">
      <c r="B3" s="348" t="s">
        <v>49</v>
      </c>
      <c r="C3" s="355"/>
      <c r="D3" s="356"/>
      <c r="E3" s="356"/>
      <c r="J3" s="357"/>
    </row>
    <row r="4" spans="2:10" x14ac:dyDescent="0.35">
      <c r="B4" s="348"/>
      <c r="C4" s="355"/>
      <c r="D4" s="356"/>
      <c r="E4" s="356"/>
      <c r="J4" s="357"/>
    </row>
    <row r="5" spans="2:10" x14ac:dyDescent="0.35">
      <c r="B5" s="358" t="s">
        <v>50</v>
      </c>
      <c r="J5" s="357"/>
    </row>
    <row r="6" spans="2:10" x14ac:dyDescent="0.35">
      <c r="B6" s="359"/>
      <c r="J6" s="357"/>
    </row>
    <row r="7" spans="2:10" x14ac:dyDescent="0.35">
      <c r="B7" s="347" t="s">
        <v>51</v>
      </c>
      <c r="J7" s="357"/>
    </row>
    <row r="8" spans="2:10" ht="18" customHeight="1" x14ac:dyDescent="0.35">
      <c r="B8" s="378" t="s">
        <v>52</v>
      </c>
      <c r="J8" s="357"/>
    </row>
    <row r="9" spans="2:10" x14ac:dyDescent="0.35">
      <c r="B9" s="348"/>
      <c r="J9" s="357"/>
    </row>
    <row r="10" spans="2:10" x14ac:dyDescent="0.35">
      <c r="B10" s="349" t="s">
        <v>53</v>
      </c>
      <c r="J10" s="357"/>
    </row>
    <row r="11" spans="2:10" ht="17.5" customHeight="1" x14ac:dyDescent="0.35">
      <c r="B11" s="380" t="s">
        <v>54</v>
      </c>
      <c r="J11" s="357"/>
    </row>
    <row r="12" spans="2:10" x14ac:dyDescent="0.35">
      <c r="B12" s="359"/>
      <c r="J12" s="357"/>
    </row>
    <row r="13" spans="2:10" x14ac:dyDescent="0.35">
      <c r="B13" s="358" t="s">
        <v>55</v>
      </c>
      <c r="J13" s="357"/>
    </row>
    <row r="14" spans="2:10" x14ac:dyDescent="0.35">
      <c r="B14" s="359" t="s">
        <v>56</v>
      </c>
      <c r="J14" s="357"/>
    </row>
    <row r="15" spans="2:10" x14ac:dyDescent="0.35">
      <c r="B15" s="359" t="s">
        <v>57</v>
      </c>
      <c r="J15" s="357"/>
    </row>
    <row r="16" spans="2:10" x14ac:dyDescent="0.35">
      <c r="B16" s="359" t="s">
        <v>58</v>
      </c>
      <c r="J16" s="357"/>
    </row>
    <row r="17" spans="2:10" ht="16" thickBot="1" x14ac:dyDescent="0.4">
      <c r="B17" s="360"/>
      <c r="C17" s="361"/>
      <c r="D17" s="361"/>
      <c r="E17" s="361"/>
      <c r="F17" s="361"/>
      <c r="G17" s="361"/>
      <c r="H17" s="361"/>
      <c r="I17" s="361"/>
      <c r="J17" s="36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ABBF3-9274-470B-9B2B-41BCFD63E9E4}">
  <dimension ref="B1:AC28"/>
  <sheetViews>
    <sheetView showGridLines="0" zoomScale="60" zoomScaleNormal="60" workbookViewId="0">
      <pane xSplit="3" topLeftCell="D1" activePane="topRight" state="frozen"/>
      <selection activeCell="A12" sqref="A12"/>
      <selection pane="topRight"/>
    </sheetView>
  </sheetViews>
  <sheetFormatPr defaultColWidth="12.453125" defaultRowHeight="14.5" x14ac:dyDescent="0.35"/>
  <cols>
    <col min="1" max="1" width="5.54296875" style="79" customWidth="1"/>
    <col min="2" max="2" width="3.81640625" style="79" bestFit="1" customWidth="1"/>
    <col min="3" max="3" width="36.7265625" style="79" customWidth="1"/>
    <col min="4" max="4" width="4.7265625" style="335" customWidth="1"/>
    <col min="5" max="5" width="9.81640625" style="79" bestFit="1" customWidth="1"/>
    <col min="6" max="6" width="8.54296875" style="79" bestFit="1" customWidth="1"/>
    <col min="7" max="7" width="2.1796875" style="79" customWidth="1"/>
    <col min="8" max="8" width="9.81640625" style="79" bestFit="1" customWidth="1"/>
    <col min="9" max="9" width="8.54296875" style="79" bestFit="1" customWidth="1"/>
    <col min="10" max="10" width="2.1796875" style="79" customWidth="1"/>
    <col min="11" max="11" width="9.81640625" style="79" bestFit="1" customWidth="1"/>
    <col min="12" max="12" width="8.54296875" style="79" bestFit="1" customWidth="1"/>
    <col min="13" max="13" width="2.1796875" style="79" customWidth="1"/>
    <col min="14" max="14" width="9.81640625" style="79" bestFit="1" customWidth="1"/>
    <col min="15" max="15" width="8.7265625" style="79" bestFit="1" customWidth="1"/>
    <col min="16" max="16" width="2.1796875" style="79" customWidth="1"/>
    <col min="17" max="17" width="9.81640625" style="79" bestFit="1" customWidth="1"/>
    <col min="18" max="18" width="8.7265625" style="79" bestFit="1" customWidth="1"/>
    <col min="19" max="19" width="2.1796875" style="79" customWidth="1"/>
    <col min="20" max="20" width="9.81640625" style="79" bestFit="1" customWidth="1"/>
    <col min="21" max="21" width="8.7265625" style="79" bestFit="1" customWidth="1"/>
    <col min="22" max="22" width="2.1796875" style="79" customWidth="1"/>
    <col min="23" max="24" width="12.54296875" style="79" bestFit="1" customWidth="1"/>
    <col min="25" max="25" width="2.1796875" style="79" customWidth="1"/>
    <col min="26" max="26" width="42.1796875" style="79" bestFit="1" customWidth="1"/>
    <col min="27" max="27" width="10.1796875" style="79" bestFit="1" customWidth="1"/>
    <col min="28" max="28" width="44.1796875" style="79" bestFit="1" customWidth="1"/>
    <col min="29" max="16384" width="12.453125" style="79"/>
  </cols>
  <sheetData>
    <row r="1" spans="2:29" ht="15" customHeight="1" thickBot="1" x14ac:dyDescent="0.4"/>
    <row r="2" spans="2:29" ht="23.5" x14ac:dyDescent="0.35">
      <c r="B2" s="80"/>
      <c r="C2" s="327" t="s">
        <v>59</v>
      </c>
      <c r="D2" s="336"/>
      <c r="E2" s="184"/>
      <c r="F2" s="184"/>
      <c r="G2" s="184"/>
      <c r="H2" s="184"/>
      <c r="I2" s="184"/>
      <c r="J2" s="184"/>
      <c r="K2" s="184"/>
      <c r="L2" s="184"/>
      <c r="M2" s="184"/>
      <c r="N2" s="184"/>
      <c r="O2" s="184"/>
      <c r="P2" s="184"/>
      <c r="Q2" s="184"/>
      <c r="R2" s="184"/>
      <c r="S2" s="184"/>
      <c r="T2" s="184"/>
      <c r="U2" s="184"/>
      <c r="V2" s="81"/>
      <c r="W2" s="81"/>
      <c r="X2" s="81"/>
      <c r="Y2" s="184"/>
      <c r="Z2" s="184"/>
      <c r="AA2" s="184"/>
      <c r="AB2" s="392"/>
    </row>
    <row r="3" spans="2:29" x14ac:dyDescent="0.35">
      <c r="B3" s="82"/>
      <c r="C3" s="83" t="s">
        <v>60</v>
      </c>
      <c r="D3" s="337"/>
      <c r="V3" s="84"/>
      <c r="W3" s="84"/>
      <c r="X3" s="84"/>
      <c r="AB3" s="393"/>
    </row>
    <row r="4" spans="2:29" x14ac:dyDescent="0.35">
      <c r="B4" s="82"/>
      <c r="C4" s="83" t="s">
        <v>61</v>
      </c>
      <c r="D4" s="337"/>
      <c r="V4" s="84"/>
      <c r="W4" s="84"/>
      <c r="X4" s="84"/>
      <c r="AB4" s="393"/>
    </row>
    <row r="5" spans="2:29" ht="15" thickBot="1" x14ac:dyDescent="0.4">
      <c r="B5" s="82"/>
      <c r="D5" s="337"/>
      <c r="V5" s="84"/>
      <c r="W5" s="84"/>
      <c r="X5" s="84"/>
      <c r="AB5" s="393"/>
    </row>
    <row r="6" spans="2:29" x14ac:dyDescent="0.35">
      <c r="B6" s="82"/>
      <c r="D6" s="337"/>
      <c r="V6" s="84"/>
      <c r="W6" s="84"/>
      <c r="X6" s="84"/>
      <c r="AB6" s="393"/>
    </row>
    <row r="7" spans="2:29" ht="21" x14ac:dyDescent="0.35">
      <c r="B7" s="82"/>
      <c r="D7" s="337"/>
      <c r="E7" s="449" t="s">
        <v>62</v>
      </c>
      <c r="F7" s="450"/>
      <c r="G7" s="450"/>
      <c r="H7" s="450"/>
      <c r="I7" s="450"/>
      <c r="J7" s="450"/>
      <c r="K7" s="450"/>
      <c r="L7" s="450"/>
      <c r="M7" s="450"/>
      <c r="N7" s="450"/>
      <c r="O7" s="450"/>
      <c r="P7" s="450"/>
      <c r="Q7" s="450"/>
      <c r="R7" s="450"/>
      <c r="S7" s="450"/>
      <c r="T7" s="450"/>
      <c r="U7" s="450"/>
      <c r="V7" s="450"/>
      <c r="W7" s="450"/>
      <c r="X7" s="450"/>
      <c r="Y7" s="450"/>
      <c r="Z7" s="450"/>
      <c r="AA7" s="450"/>
      <c r="AB7" s="451"/>
    </row>
    <row r="8" spans="2:29" ht="15" thickBot="1" x14ac:dyDescent="0.4">
      <c r="B8" s="82"/>
      <c r="C8" s="343"/>
      <c r="AB8" s="186"/>
    </row>
    <row r="9" spans="2:29" s="85" customFormat="1" ht="19" thickBot="1" x14ac:dyDescent="0.4">
      <c r="B9" s="91"/>
      <c r="C9" s="344"/>
      <c r="D9" s="338"/>
      <c r="E9" s="452" t="s">
        <v>16</v>
      </c>
      <c r="F9" s="453"/>
      <c r="G9" s="453"/>
      <c r="H9" s="453"/>
      <c r="I9" s="453"/>
      <c r="J9" s="453"/>
      <c r="K9" s="453"/>
      <c r="L9" s="453"/>
      <c r="M9" s="90"/>
      <c r="N9" s="454" t="s">
        <v>20</v>
      </c>
      <c r="O9" s="455"/>
      <c r="P9" s="455"/>
      <c r="Q9" s="455"/>
      <c r="R9" s="455"/>
      <c r="S9" s="455"/>
      <c r="T9" s="455"/>
      <c r="U9" s="456"/>
      <c r="V9" s="180"/>
      <c r="W9" s="180"/>
      <c r="X9" s="180"/>
      <c r="Y9" s="180"/>
      <c r="Z9" s="159"/>
      <c r="AA9" s="90"/>
      <c r="AB9" s="394"/>
    </row>
    <row r="10" spans="2:29" s="76" customFormat="1" ht="52.5" customHeight="1" thickBot="1" x14ac:dyDescent="0.4">
      <c r="B10" s="346"/>
      <c r="C10" s="345"/>
      <c r="D10" s="339"/>
      <c r="E10" s="457" t="s">
        <v>17</v>
      </c>
      <c r="F10" s="458"/>
      <c r="G10" s="89"/>
      <c r="H10" s="457" t="s">
        <v>18</v>
      </c>
      <c r="I10" s="458"/>
      <c r="J10" s="74"/>
      <c r="K10" s="457" t="s">
        <v>19</v>
      </c>
      <c r="L10" s="458"/>
      <c r="M10" s="74"/>
      <c r="N10" s="459" t="s">
        <v>21</v>
      </c>
      <c r="O10" s="460"/>
      <c r="P10" s="74"/>
      <c r="Q10" s="457" t="s">
        <v>22</v>
      </c>
      <c r="R10" s="458"/>
      <c r="S10" s="74"/>
      <c r="T10" s="457" t="s">
        <v>23</v>
      </c>
      <c r="U10" s="458"/>
      <c r="V10" s="75"/>
      <c r="W10" s="322" t="s">
        <v>63</v>
      </c>
      <c r="X10" s="323" t="s">
        <v>64</v>
      </c>
      <c r="Y10" s="75"/>
      <c r="Z10" s="447" t="s">
        <v>65</v>
      </c>
      <c r="AA10" s="448"/>
      <c r="AB10" s="386" t="s">
        <v>13</v>
      </c>
      <c r="AC10" s="385"/>
    </row>
    <row r="11" spans="2:29" s="78" customFormat="1" ht="58.5" thickBot="1" x14ac:dyDescent="0.4">
      <c r="B11" s="77" t="s">
        <v>66</v>
      </c>
      <c r="C11" s="71" t="s">
        <v>3</v>
      </c>
      <c r="D11" s="339"/>
      <c r="E11" s="72" t="s">
        <v>67</v>
      </c>
      <c r="F11" s="73" t="s">
        <v>68</v>
      </c>
      <c r="G11" s="74"/>
      <c r="H11" s="72" t="s">
        <v>67</v>
      </c>
      <c r="I11" s="73" t="s">
        <v>68</v>
      </c>
      <c r="J11" s="74"/>
      <c r="K11" s="72" t="s">
        <v>67</v>
      </c>
      <c r="L11" s="73" t="s">
        <v>68</v>
      </c>
      <c r="M11" s="74"/>
      <c r="N11" s="72" t="s">
        <v>69</v>
      </c>
      <c r="O11" s="73" t="s">
        <v>70</v>
      </c>
      <c r="P11" s="74"/>
      <c r="Q11" s="72" t="s">
        <v>69</v>
      </c>
      <c r="R11" s="73" t="s">
        <v>70</v>
      </c>
      <c r="S11" s="74"/>
      <c r="T11" s="72" t="s">
        <v>69</v>
      </c>
      <c r="U11" s="73" t="s">
        <v>70</v>
      </c>
      <c r="V11" s="75"/>
      <c r="W11" s="321" t="s">
        <v>71</v>
      </c>
      <c r="X11" s="183" t="s">
        <v>72</v>
      </c>
      <c r="Y11" s="75"/>
      <c r="Z11" s="72" t="s">
        <v>73</v>
      </c>
      <c r="AA11" s="73" t="s">
        <v>12</v>
      </c>
      <c r="AB11" s="387" t="s">
        <v>74</v>
      </c>
    </row>
    <row r="12" spans="2:29" x14ac:dyDescent="0.35">
      <c r="B12" s="87">
        <v>1</v>
      </c>
      <c r="C12" s="334" t="s">
        <v>15</v>
      </c>
      <c r="D12" s="86"/>
      <c r="E12" s="181">
        <v>26</v>
      </c>
      <c r="F12" s="445">
        <v>16</v>
      </c>
      <c r="G12" s="86"/>
      <c r="H12" s="181">
        <v>28</v>
      </c>
      <c r="I12" s="445">
        <v>25</v>
      </c>
      <c r="J12" s="86"/>
      <c r="K12" s="181">
        <v>22</v>
      </c>
      <c r="L12" s="445">
        <v>10</v>
      </c>
      <c r="M12" s="86"/>
      <c r="N12" s="181">
        <v>23</v>
      </c>
      <c r="O12" s="445">
        <v>17</v>
      </c>
      <c r="P12" s="86"/>
      <c r="Q12" s="181">
        <v>34</v>
      </c>
      <c r="R12" s="445"/>
      <c r="S12" s="86"/>
      <c r="T12" s="181">
        <v>19</v>
      </c>
      <c r="U12" s="445">
        <v>9</v>
      </c>
      <c r="V12" s="86"/>
      <c r="W12" s="438">
        <v>1</v>
      </c>
      <c r="X12" s="439">
        <v>0.5</v>
      </c>
      <c r="Y12" s="86"/>
      <c r="Z12" s="160" t="s">
        <v>75</v>
      </c>
      <c r="AA12" s="93">
        <v>0.15</v>
      </c>
      <c r="AB12" s="390" t="s">
        <v>76</v>
      </c>
    </row>
    <row r="13" spans="2:29" x14ac:dyDescent="0.35">
      <c r="B13" s="87">
        <v>2</v>
      </c>
      <c r="C13" s="334" t="s">
        <v>24</v>
      </c>
      <c r="D13" s="86"/>
      <c r="E13" s="181">
        <v>20</v>
      </c>
      <c r="F13" s="446">
        <v>8</v>
      </c>
      <c r="H13" s="181">
        <v>21</v>
      </c>
      <c r="I13" s="446">
        <v>16</v>
      </c>
      <c r="K13" s="181"/>
      <c r="L13" s="446">
        <v>12</v>
      </c>
      <c r="N13" s="181"/>
      <c r="O13" s="446">
        <v>17</v>
      </c>
      <c r="Q13" s="181">
        <v>27</v>
      </c>
      <c r="R13" s="446">
        <v>20</v>
      </c>
      <c r="T13" s="181"/>
      <c r="U13" s="446">
        <v>12</v>
      </c>
      <c r="W13" s="438">
        <v>1</v>
      </c>
      <c r="X13" s="439">
        <v>0.5</v>
      </c>
      <c r="Z13" s="160" t="s">
        <v>77</v>
      </c>
      <c r="AA13" s="93"/>
      <c r="AB13" s="390"/>
    </row>
    <row r="14" spans="2:29" x14ac:dyDescent="0.35">
      <c r="B14" s="87">
        <v>3</v>
      </c>
      <c r="C14" s="334" t="s">
        <v>25</v>
      </c>
      <c r="D14" s="86"/>
      <c r="E14" s="181"/>
      <c r="F14" s="446">
        <v>21</v>
      </c>
      <c r="H14" s="181">
        <v>27</v>
      </c>
      <c r="I14" s="446">
        <v>18</v>
      </c>
      <c r="K14" s="181">
        <v>38</v>
      </c>
      <c r="L14" s="446">
        <v>24</v>
      </c>
      <c r="N14" s="181">
        <v>38</v>
      </c>
      <c r="O14" s="446">
        <v>21</v>
      </c>
      <c r="Q14" s="181"/>
      <c r="R14" s="446">
        <v>19</v>
      </c>
      <c r="T14" s="181">
        <v>21</v>
      </c>
      <c r="U14" s="446"/>
      <c r="W14" s="438"/>
      <c r="X14" s="439"/>
      <c r="Z14" s="160"/>
      <c r="AA14" s="93">
        <v>0.2</v>
      </c>
      <c r="AB14" s="390"/>
    </row>
    <row r="15" spans="2:29" x14ac:dyDescent="0.35">
      <c r="B15" s="87">
        <v>4</v>
      </c>
      <c r="C15" s="334" t="s">
        <v>26</v>
      </c>
      <c r="D15" s="86"/>
      <c r="E15" s="181">
        <v>27</v>
      </c>
      <c r="F15" s="446">
        <v>22</v>
      </c>
      <c r="H15" s="181">
        <v>27</v>
      </c>
      <c r="I15" s="446">
        <v>23</v>
      </c>
      <c r="K15" s="181">
        <v>36</v>
      </c>
      <c r="L15" s="446">
        <v>20</v>
      </c>
      <c r="N15" s="181"/>
      <c r="O15" s="446">
        <v>15</v>
      </c>
      <c r="Q15" s="181">
        <v>26</v>
      </c>
      <c r="R15" s="446">
        <v>15</v>
      </c>
      <c r="T15" s="181">
        <v>38</v>
      </c>
      <c r="U15" s="446">
        <v>12</v>
      </c>
      <c r="W15" s="438">
        <v>1</v>
      </c>
      <c r="X15" s="439">
        <v>0.5</v>
      </c>
      <c r="Z15" s="160" t="s">
        <v>75</v>
      </c>
      <c r="AA15" s="93">
        <v>0.05</v>
      </c>
      <c r="AB15" s="390" t="s">
        <v>76</v>
      </c>
    </row>
    <row r="16" spans="2:29" x14ac:dyDescent="0.35">
      <c r="B16" s="87">
        <v>5</v>
      </c>
      <c r="C16" s="334" t="s">
        <v>27</v>
      </c>
      <c r="D16" s="86"/>
      <c r="E16" s="181">
        <v>23</v>
      </c>
      <c r="F16" s="446"/>
      <c r="H16" s="181"/>
      <c r="I16" s="446">
        <v>25</v>
      </c>
      <c r="K16" s="181">
        <v>20</v>
      </c>
      <c r="L16" s="446"/>
      <c r="N16" s="181">
        <v>16</v>
      </c>
      <c r="O16" s="446">
        <v>9</v>
      </c>
      <c r="Q16" s="181">
        <v>12</v>
      </c>
      <c r="R16" s="446">
        <v>8</v>
      </c>
      <c r="T16" s="181">
        <v>33</v>
      </c>
      <c r="U16" s="446">
        <v>21</v>
      </c>
      <c r="W16" s="438">
        <v>1</v>
      </c>
      <c r="X16" s="439">
        <v>0.5</v>
      </c>
      <c r="Z16" s="160" t="s">
        <v>78</v>
      </c>
      <c r="AA16" s="93">
        <v>0.1</v>
      </c>
      <c r="AB16" s="390"/>
    </row>
    <row r="17" spans="2:28" x14ac:dyDescent="0.35">
      <c r="B17" s="87">
        <v>6</v>
      </c>
      <c r="C17" s="334" t="s">
        <v>28</v>
      </c>
      <c r="D17" s="86"/>
      <c r="E17" s="181">
        <v>40</v>
      </c>
      <c r="F17" s="446">
        <v>20</v>
      </c>
      <c r="H17" s="181">
        <v>20</v>
      </c>
      <c r="I17" s="446">
        <v>17</v>
      </c>
      <c r="K17" s="181">
        <v>34</v>
      </c>
      <c r="L17" s="446">
        <v>18</v>
      </c>
      <c r="N17" s="181">
        <v>34</v>
      </c>
      <c r="O17" s="446"/>
      <c r="Q17" s="181"/>
      <c r="R17" s="446"/>
      <c r="T17" s="181"/>
      <c r="U17" s="446"/>
      <c r="W17" s="438">
        <v>1</v>
      </c>
      <c r="X17" s="439">
        <v>0.5</v>
      </c>
      <c r="Z17" s="160" t="s">
        <v>77</v>
      </c>
      <c r="AA17" s="93">
        <v>0.1</v>
      </c>
      <c r="AB17" s="390" t="s">
        <v>76</v>
      </c>
    </row>
    <row r="18" spans="2:28" x14ac:dyDescent="0.35">
      <c r="B18" s="87">
        <v>7</v>
      </c>
      <c r="C18" s="334" t="s">
        <v>29</v>
      </c>
      <c r="D18" s="86"/>
      <c r="E18" s="181">
        <v>29</v>
      </c>
      <c r="F18" s="446">
        <v>25</v>
      </c>
      <c r="H18" s="181">
        <v>37</v>
      </c>
      <c r="I18" s="446">
        <v>24</v>
      </c>
      <c r="K18" s="181">
        <v>25</v>
      </c>
      <c r="L18" s="446"/>
      <c r="N18" s="181">
        <v>16</v>
      </c>
      <c r="O18" s="446">
        <v>13</v>
      </c>
      <c r="Q18" s="181">
        <v>40</v>
      </c>
      <c r="R18" s="446">
        <v>25</v>
      </c>
      <c r="T18" s="181">
        <v>27</v>
      </c>
      <c r="U18" s="446">
        <v>12</v>
      </c>
      <c r="W18" s="438"/>
      <c r="X18" s="439"/>
      <c r="Z18" s="160"/>
      <c r="AA18" s="93"/>
      <c r="AB18" s="390" t="s">
        <v>76</v>
      </c>
    </row>
    <row r="19" spans="2:28" x14ac:dyDescent="0.35">
      <c r="B19" s="87">
        <v>8</v>
      </c>
      <c r="C19" s="334" t="s">
        <v>30</v>
      </c>
      <c r="D19" s="86"/>
      <c r="E19" s="181"/>
      <c r="F19" s="446">
        <v>22</v>
      </c>
      <c r="H19" s="181"/>
      <c r="I19" s="446">
        <v>15</v>
      </c>
      <c r="K19" s="181">
        <v>35</v>
      </c>
      <c r="L19" s="446">
        <v>8</v>
      </c>
      <c r="N19" s="181"/>
      <c r="O19" s="446">
        <v>8</v>
      </c>
      <c r="Q19" s="181">
        <v>21</v>
      </c>
      <c r="R19" s="446">
        <v>14</v>
      </c>
      <c r="T19" s="181">
        <v>23</v>
      </c>
      <c r="U19" s="446">
        <v>14</v>
      </c>
      <c r="W19" s="438">
        <v>1</v>
      </c>
      <c r="X19" s="439">
        <v>0.5</v>
      </c>
      <c r="Z19" s="160" t="s">
        <v>78</v>
      </c>
      <c r="AA19" s="93">
        <v>0.2</v>
      </c>
      <c r="AB19" s="390" t="s">
        <v>76</v>
      </c>
    </row>
    <row r="20" spans="2:28" x14ac:dyDescent="0.35">
      <c r="B20" s="87">
        <v>9</v>
      </c>
      <c r="C20" s="334" t="s">
        <v>31</v>
      </c>
      <c r="D20" s="340"/>
      <c r="E20" s="181">
        <v>31</v>
      </c>
      <c r="F20" s="446"/>
      <c r="H20" s="181">
        <v>39</v>
      </c>
      <c r="I20" s="446"/>
      <c r="K20" s="181"/>
      <c r="L20" s="446"/>
      <c r="N20" s="181">
        <v>22</v>
      </c>
      <c r="O20" s="446">
        <v>15</v>
      </c>
      <c r="Q20" s="181">
        <v>33</v>
      </c>
      <c r="R20" s="446">
        <v>21</v>
      </c>
      <c r="T20" s="181"/>
      <c r="U20" s="446">
        <v>21</v>
      </c>
      <c r="W20" s="438">
        <v>1</v>
      </c>
      <c r="X20" s="439">
        <v>0.5</v>
      </c>
      <c r="Z20" s="160" t="s">
        <v>75</v>
      </c>
      <c r="AA20" s="93">
        <v>0.05</v>
      </c>
      <c r="AB20" s="390"/>
    </row>
    <row r="21" spans="2:28" x14ac:dyDescent="0.35">
      <c r="B21" s="87">
        <v>10</v>
      </c>
      <c r="C21" s="334" t="s">
        <v>32</v>
      </c>
      <c r="D21" s="86"/>
      <c r="E21" s="181">
        <v>37</v>
      </c>
      <c r="F21" s="446">
        <v>23</v>
      </c>
      <c r="H21" s="181">
        <v>27</v>
      </c>
      <c r="I21" s="446">
        <v>19</v>
      </c>
      <c r="K21" s="181">
        <v>22</v>
      </c>
      <c r="L21" s="446">
        <v>14</v>
      </c>
      <c r="N21" s="181">
        <v>22</v>
      </c>
      <c r="O21" s="446"/>
      <c r="Q21" s="181">
        <v>29</v>
      </c>
      <c r="R21" s="446"/>
      <c r="T21" s="181">
        <v>26</v>
      </c>
      <c r="U21" s="446"/>
      <c r="W21" s="438">
        <v>1</v>
      </c>
      <c r="X21" s="439">
        <v>0.5</v>
      </c>
      <c r="Z21" s="160" t="s">
        <v>77</v>
      </c>
      <c r="AA21" s="93">
        <v>0.15</v>
      </c>
      <c r="AB21" s="390" t="s">
        <v>76</v>
      </c>
    </row>
    <row r="22" spans="2:28" x14ac:dyDescent="0.35">
      <c r="B22" s="87">
        <v>11</v>
      </c>
      <c r="C22" s="334" t="s">
        <v>33</v>
      </c>
      <c r="D22" s="86"/>
      <c r="E22" s="181">
        <v>26</v>
      </c>
      <c r="F22" s="446">
        <v>18</v>
      </c>
      <c r="H22" s="181">
        <v>23</v>
      </c>
      <c r="I22" s="446">
        <v>17</v>
      </c>
      <c r="K22" s="181">
        <v>39</v>
      </c>
      <c r="L22" s="446">
        <v>19</v>
      </c>
      <c r="N22" s="181">
        <v>35</v>
      </c>
      <c r="O22" s="446">
        <v>22</v>
      </c>
      <c r="Q22" s="181"/>
      <c r="R22" s="446">
        <v>26</v>
      </c>
      <c r="T22" s="181">
        <v>20</v>
      </c>
      <c r="U22" s="446">
        <v>13</v>
      </c>
      <c r="W22" s="438">
        <v>1</v>
      </c>
      <c r="X22" s="439">
        <v>0.5</v>
      </c>
      <c r="Z22" s="160" t="s">
        <v>75</v>
      </c>
      <c r="AA22" s="93">
        <v>0.1</v>
      </c>
      <c r="AB22" s="390" t="s">
        <v>76</v>
      </c>
    </row>
    <row r="23" spans="2:28" x14ac:dyDescent="0.35">
      <c r="C23" s="328"/>
      <c r="D23" s="86"/>
    </row>
    <row r="24" spans="2:28" x14ac:dyDescent="0.35">
      <c r="D24" s="86"/>
    </row>
    <row r="25" spans="2:28" x14ac:dyDescent="0.35">
      <c r="D25" s="86"/>
    </row>
    <row r="26" spans="2:28" x14ac:dyDescent="0.35">
      <c r="D26" s="86"/>
    </row>
    <row r="27" spans="2:28" x14ac:dyDescent="0.35">
      <c r="D27" s="86"/>
    </row>
    <row r="28" spans="2:28" x14ac:dyDescent="0.35">
      <c r="D28" s="86"/>
    </row>
  </sheetData>
  <mergeCells count="10">
    <mergeCell ref="Z10:AA10"/>
    <mergeCell ref="E7:AB7"/>
    <mergeCell ref="E9:L9"/>
    <mergeCell ref="N9:U9"/>
    <mergeCell ref="E10:F10"/>
    <mergeCell ref="H10:I10"/>
    <mergeCell ref="K10:L10"/>
    <mergeCell ref="N10:O10"/>
    <mergeCell ref="Q10:R10"/>
    <mergeCell ref="T10:U10"/>
  </mergeCells>
  <phoneticPr fontId="3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FC18-9D0D-4283-A46B-6861741DE167}">
  <dimension ref="B1:AB28"/>
  <sheetViews>
    <sheetView showGridLines="0" zoomScale="60" zoomScaleNormal="60" workbookViewId="0">
      <pane xSplit="3" topLeftCell="D1" activePane="topRight" state="frozen"/>
      <selection activeCell="A12" sqref="A12"/>
      <selection pane="topRight"/>
    </sheetView>
  </sheetViews>
  <sheetFormatPr defaultColWidth="12.453125" defaultRowHeight="14.5" x14ac:dyDescent="0.35"/>
  <cols>
    <col min="1" max="1" width="6.1796875" style="79" customWidth="1"/>
    <col min="2" max="2" width="3.81640625" style="79" bestFit="1" customWidth="1"/>
    <col min="3" max="3" width="36.26953125" style="79" customWidth="1"/>
    <col min="4" max="4" width="4.7265625" style="335" customWidth="1"/>
    <col min="5" max="5" width="9.81640625" style="79" bestFit="1" customWidth="1"/>
    <col min="6" max="6" width="8.54296875" style="79" bestFit="1" customWidth="1"/>
    <col min="7" max="7" width="2.1796875" style="79" customWidth="1"/>
    <col min="8" max="8" width="9.81640625" style="79" bestFit="1" customWidth="1"/>
    <col min="9" max="9" width="8.54296875" style="79" bestFit="1" customWidth="1"/>
    <col min="10" max="10" width="2.1796875" style="79" customWidth="1"/>
    <col min="11" max="11" width="9.81640625" style="79" bestFit="1" customWidth="1"/>
    <col min="12" max="12" width="8.54296875" style="79" bestFit="1" customWidth="1"/>
    <col min="13" max="13" width="2.1796875" style="79" customWidth="1"/>
    <col min="14" max="14" width="9.81640625" style="79" bestFit="1" customWidth="1"/>
    <col min="15" max="15" width="8.7265625" style="79" bestFit="1" customWidth="1"/>
    <col min="16" max="16" width="2.1796875" style="79" customWidth="1"/>
    <col min="17" max="17" width="9.81640625" style="79" bestFit="1" customWidth="1"/>
    <col min="18" max="18" width="8.7265625" style="79" bestFit="1" customWidth="1"/>
    <col min="19" max="19" width="2.1796875" style="79" customWidth="1"/>
    <col min="20" max="20" width="9.81640625" style="79" bestFit="1" customWidth="1"/>
    <col min="21" max="21" width="8.7265625" style="79" bestFit="1" customWidth="1"/>
    <col min="22" max="22" width="2.1796875" style="79" customWidth="1"/>
    <col min="23" max="24" width="12.54296875" style="79" bestFit="1" customWidth="1"/>
    <col min="25" max="25" width="2.1796875" style="79" customWidth="1"/>
    <col min="26" max="26" width="42.1796875" style="79" bestFit="1" customWidth="1"/>
    <col min="27" max="27" width="10.1796875" style="79" bestFit="1" customWidth="1"/>
    <col min="28" max="28" width="44.1796875" style="79" bestFit="1" customWidth="1"/>
    <col min="29" max="16384" width="12.453125" style="79"/>
  </cols>
  <sheetData>
    <row r="1" spans="2:28" ht="15" customHeight="1" thickBot="1" x14ac:dyDescent="0.4"/>
    <row r="2" spans="2:28" ht="23.5" x14ac:dyDescent="0.35">
      <c r="B2" s="80"/>
      <c r="C2" s="327" t="s">
        <v>59</v>
      </c>
      <c r="D2" s="336"/>
      <c r="E2" s="184"/>
      <c r="F2" s="184"/>
      <c r="G2" s="184"/>
      <c r="H2" s="184"/>
      <c r="I2" s="184"/>
      <c r="J2" s="184"/>
      <c r="K2" s="184"/>
      <c r="L2" s="184"/>
      <c r="M2" s="184"/>
      <c r="N2" s="184"/>
      <c r="O2" s="184"/>
      <c r="P2" s="184"/>
      <c r="Q2" s="184"/>
      <c r="R2" s="184"/>
      <c r="S2" s="184"/>
      <c r="T2" s="184"/>
      <c r="U2" s="184"/>
      <c r="V2" s="81"/>
      <c r="W2" s="81"/>
      <c r="X2" s="81"/>
      <c r="Y2" s="184"/>
      <c r="Z2" s="184"/>
      <c r="AA2" s="184"/>
      <c r="AB2" s="392"/>
    </row>
    <row r="3" spans="2:28" x14ac:dyDescent="0.35">
      <c r="B3" s="82"/>
      <c r="C3" s="83" t="s">
        <v>60</v>
      </c>
      <c r="D3" s="337"/>
      <c r="V3" s="84"/>
      <c r="W3" s="84"/>
      <c r="X3" s="84"/>
      <c r="AB3" s="393"/>
    </row>
    <row r="4" spans="2:28" x14ac:dyDescent="0.35">
      <c r="B4" s="82"/>
      <c r="C4" s="83" t="s">
        <v>61</v>
      </c>
      <c r="D4" s="337"/>
      <c r="V4" s="84"/>
      <c r="W4" s="84"/>
      <c r="X4" s="84"/>
      <c r="AB4" s="393"/>
    </row>
    <row r="5" spans="2:28" x14ac:dyDescent="0.35">
      <c r="B5" s="82"/>
      <c r="C5" s="83"/>
      <c r="D5" s="337"/>
      <c r="V5" s="84"/>
      <c r="W5" s="84"/>
      <c r="X5" s="84"/>
      <c r="AB5" s="393"/>
    </row>
    <row r="6" spans="2:28" x14ac:dyDescent="0.35">
      <c r="B6" s="82"/>
      <c r="C6" s="83"/>
      <c r="D6" s="337"/>
      <c r="V6" s="84"/>
      <c r="W6" s="84"/>
      <c r="X6" s="84"/>
      <c r="AB6" s="393"/>
    </row>
    <row r="7" spans="2:28" ht="21" x14ac:dyDescent="0.35">
      <c r="B7" s="82"/>
      <c r="C7" s="83"/>
      <c r="D7" s="337"/>
      <c r="E7" s="449" t="s">
        <v>79</v>
      </c>
      <c r="F7" s="450"/>
      <c r="G7" s="450"/>
      <c r="H7" s="450"/>
      <c r="I7" s="450"/>
      <c r="J7" s="450"/>
      <c r="K7" s="450"/>
      <c r="L7" s="450"/>
      <c r="M7" s="450"/>
      <c r="N7" s="450"/>
      <c r="O7" s="450"/>
      <c r="P7" s="450"/>
      <c r="Q7" s="450"/>
      <c r="R7" s="450"/>
      <c r="S7" s="450"/>
      <c r="T7" s="450"/>
      <c r="U7" s="450"/>
      <c r="V7" s="450"/>
      <c r="W7" s="450"/>
      <c r="X7" s="450"/>
      <c r="Y7" s="450"/>
      <c r="Z7" s="450"/>
      <c r="AA7" s="450"/>
      <c r="AB7" s="451"/>
    </row>
    <row r="8" spans="2:28" ht="15" thickBot="1" x14ac:dyDescent="0.4">
      <c r="B8" s="82"/>
      <c r="C8" s="83"/>
      <c r="AB8" s="186"/>
    </row>
    <row r="9" spans="2:28" s="85" customFormat="1" ht="19" thickBot="1" x14ac:dyDescent="0.4">
      <c r="B9" s="91"/>
      <c r="C9" s="90"/>
      <c r="D9" s="338"/>
      <c r="E9" s="452" t="s">
        <v>16</v>
      </c>
      <c r="F9" s="453"/>
      <c r="G9" s="453"/>
      <c r="H9" s="453"/>
      <c r="I9" s="453"/>
      <c r="J9" s="453"/>
      <c r="K9" s="453"/>
      <c r="L9" s="453"/>
      <c r="M9" s="90"/>
      <c r="N9" s="454" t="s">
        <v>20</v>
      </c>
      <c r="O9" s="455"/>
      <c r="P9" s="455"/>
      <c r="Q9" s="455"/>
      <c r="R9" s="455"/>
      <c r="S9" s="455"/>
      <c r="T9" s="455"/>
      <c r="U9" s="456"/>
      <c r="V9" s="180"/>
      <c r="W9" s="180"/>
      <c r="X9" s="180"/>
      <c r="Y9" s="180"/>
      <c r="Z9" s="159"/>
      <c r="AA9" s="90"/>
      <c r="AB9" s="394"/>
    </row>
    <row r="10" spans="2:28" s="76" customFormat="1" ht="56.5" customHeight="1" thickBot="1" x14ac:dyDescent="0.4">
      <c r="B10" s="88"/>
      <c r="C10" s="395"/>
      <c r="D10" s="339"/>
      <c r="E10" s="457" t="s">
        <v>17</v>
      </c>
      <c r="F10" s="458"/>
      <c r="G10" s="89"/>
      <c r="H10" s="457" t="s">
        <v>18</v>
      </c>
      <c r="I10" s="458"/>
      <c r="J10" s="74"/>
      <c r="K10" s="457" t="s">
        <v>19</v>
      </c>
      <c r="L10" s="458"/>
      <c r="M10" s="74"/>
      <c r="N10" s="459" t="s">
        <v>21</v>
      </c>
      <c r="O10" s="460"/>
      <c r="P10" s="74"/>
      <c r="Q10" s="457" t="s">
        <v>22</v>
      </c>
      <c r="R10" s="458"/>
      <c r="S10" s="74"/>
      <c r="T10" s="457" t="s">
        <v>23</v>
      </c>
      <c r="U10" s="458"/>
      <c r="V10" s="75"/>
      <c r="W10" s="322" t="s">
        <v>63</v>
      </c>
      <c r="X10" s="323" t="s">
        <v>64</v>
      </c>
      <c r="Y10" s="75"/>
      <c r="Z10" s="447" t="s">
        <v>65</v>
      </c>
      <c r="AA10" s="448"/>
      <c r="AB10" s="386" t="s">
        <v>13</v>
      </c>
    </row>
    <row r="11" spans="2:28" s="78" customFormat="1" ht="58.5" thickBot="1" x14ac:dyDescent="0.4">
      <c r="B11" s="77" t="s">
        <v>66</v>
      </c>
      <c r="C11" s="71" t="s">
        <v>3</v>
      </c>
      <c r="D11" s="339"/>
      <c r="E11" s="72" t="s">
        <v>67</v>
      </c>
      <c r="F11" s="73" t="s">
        <v>68</v>
      </c>
      <c r="G11" s="74"/>
      <c r="H11" s="72" t="s">
        <v>67</v>
      </c>
      <c r="I11" s="73" t="s">
        <v>68</v>
      </c>
      <c r="J11" s="74"/>
      <c r="K11" s="72" t="s">
        <v>67</v>
      </c>
      <c r="L11" s="73" t="s">
        <v>68</v>
      </c>
      <c r="M11" s="74"/>
      <c r="N11" s="72" t="s">
        <v>69</v>
      </c>
      <c r="O11" s="73" t="s">
        <v>70</v>
      </c>
      <c r="P11" s="74"/>
      <c r="Q11" s="72" t="s">
        <v>69</v>
      </c>
      <c r="R11" s="73" t="s">
        <v>70</v>
      </c>
      <c r="S11" s="74"/>
      <c r="T11" s="72" t="s">
        <v>69</v>
      </c>
      <c r="U11" s="73" t="s">
        <v>70</v>
      </c>
      <c r="V11" s="75"/>
      <c r="W11" s="321" t="s">
        <v>71</v>
      </c>
      <c r="X11" s="183" t="s">
        <v>72</v>
      </c>
      <c r="Y11" s="75"/>
      <c r="Z11" s="72" t="s">
        <v>73</v>
      </c>
      <c r="AA11" s="73" t="s">
        <v>12</v>
      </c>
      <c r="AB11" s="387" t="s">
        <v>74</v>
      </c>
    </row>
    <row r="12" spans="2:28" s="76" customFormat="1" x14ac:dyDescent="0.35">
      <c r="B12" s="398">
        <v>1</v>
      </c>
      <c r="C12" s="399" t="s">
        <v>15</v>
      </c>
      <c r="D12" s="400"/>
      <c r="E12" s="401">
        <v>15</v>
      </c>
      <c r="F12" s="402">
        <v>7</v>
      </c>
      <c r="G12" s="400"/>
      <c r="H12" s="403">
        <v>5</v>
      </c>
      <c r="I12" s="404">
        <v>4</v>
      </c>
      <c r="J12" s="400"/>
      <c r="K12" s="403">
        <v>10</v>
      </c>
      <c r="L12" s="404">
        <v>9</v>
      </c>
      <c r="M12" s="400"/>
      <c r="N12" s="403">
        <v>8</v>
      </c>
      <c r="O12" s="404">
        <v>3</v>
      </c>
      <c r="P12" s="400"/>
      <c r="Q12" s="403"/>
      <c r="R12" s="404">
        <v>8</v>
      </c>
      <c r="S12" s="400"/>
      <c r="T12" s="403">
        <v>12</v>
      </c>
      <c r="U12" s="404">
        <v>8</v>
      </c>
      <c r="V12" s="400"/>
      <c r="W12" s="440">
        <v>1</v>
      </c>
      <c r="X12" s="441">
        <v>0.5</v>
      </c>
      <c r="Y12" s="400"/>
      <c r="Z12" s="160" t="s">
        <v>75</v>
      </c>
      <c r="AA12" s="93">
        <v>0.15</v>
      </c>
      <c r="AB12" s="405" t="s">
        <v>80</v>
      </c>
    </row>
    <row r="13" spans="2:28" s="76" customFormat="1" x14ac:dyDescent="0.35">
      <c r="B13" s="398">
        <v>2</v>
      </c>
      <c r="C13" s="399" t="s">
        <v>24</v>
      </c>
      <c r="D13" s="400"/>
      <c r="E13" s="403">
        <v>17</v>
      </c>
      <c r="F13" s="404"/>
      <c r="H13" s="403">
        <v>6</v>
      </c>
      <c r="I13" s="404"/>
      <c r="K13" s="403">
        <v>11</v>
      </c>
      <c r="L13" s="404"/>
      <c r="N13" s="403">
        <v>10</v>
      </c>
      <c r="O13" s="404">
        <v>6</v>
      </c>
      <c r="Q13" s="403">
        <v>12</v>
      </c>
      <c r="R13" s="404">
        <v>9</v>
      </c>
      <c r="T13" s="403">
        <v>8</v>
      </c>
      <c r="U13" s="404">
        <v>4</v>
      </c>
      <c r="W13" s="440"/>
      <c r="X13" s="441">
        <v>0.5</v>
      </c>
      <c r="Z13" s="160" t="s">
        <v>77</v>
      </c>
      <c r="AA13" s="93">
        <v>0.1</v>
      </c>
      <c r="AB13" s="405" t="s">
        <v>80</v>
      </c>
    </row>
    <row r="14" spans="2:28" s="76" customFormat="1" x14ac:dyDescent="0.35">
      <c r="B14" s="398">
        <v>3</v>
      </c>
      <c r="C14" s="399" t="s">
        <v>25</v>
      </c>
      <c r="D14" s="400"/>
      <c r="E14" s="403">
        <v>8</v>
      </c>
      <c r="F14" s="404">
        <v>3</v>
      </c>
      <c r="H14" s="403">
        <v>10</v>
      </c>
      <c r="I14" s="404">
        <v>4</v>
      </c>
      <c r="K14" s="403"/>
      <c r="L14" s="404">
        <v>6</v>
      </c>
      <c r="N14" s="403">
        <v>13</v>
      </c>
      <c r="O14" s="404">
        <v>10</v>
      </c>
      <c r="Q14" s="403">
        <v>7</v>
      </c>
      <c r="R14" s="404"/>
      <c r="T14" s="403"/>
      <c r="U14" s="404">
        <v>8</v>
      </c>
      <c r="W14" s="440">
        <v>1</v>
      </c>
      <c r="X14" s="441">
        <v>0.5</v>
      </c>
      <c r="Z14" s="160"/>
      <c r="AA14" s="93">
        <v>0.05</v>
      </c>
      <c r="AB14" s="405" t="s">
        <v>80</v>
      </c>
    </row>
    <row r="15" spans="2:28" s="76" customFormat="1" x14ac:dyDescent="0.35">
      <c r="B15" s="398">
        <v>4</v>
      </c>
      <c r="C15" s="399" t="s">
        <v>26</v>
      </c>
      <c r="D15" s="400"/>
      <c r="E15" s="403">
        <v>15</v>
      </c>
      <c r="F15" s="404">
        <v>10</v>
      </c>
      <c r="H15" s="403">
        <v>9</v>
      </c>
      <c r="I15" s="404">
        <v>7</v>
      </c>
      <c r="K15" s="403">
        <v>8</v>
      </c>
      <c r="L15" s="404">
        <v>7</v>
      </c>
      <c r="N15" s="403"/>
      <c r="O15" s="404">
        <v>8</v>
      </c>
      <c r="Q15" s="403">
        <v>9</v>
      </c>
      <c r="R15" s="404">
        <v>5</v>
      </c>
      <c r="T15" s="403">
        <v>8</v>
      </c>
      <c r="U15" s="404">
        <v>6</v>
      </c>
      <c r="W15" s="440">
        <v>1</v>
      </c>
      <c r="X15" s="441">
        <v>0.5</v>
      </c>
      <c r="Z15" s="160" t="s">
        <v>75</v>
      </c>
      <c r="AA15" s="93"/>
      <c r="AB15" s="405"/>
    </row>
    <row r="16" spans="2:28" s="76" customFormat="1" x14ac:dyDescent="0.35">
      <c r="B16" s="398">
        <v>5</v>
      </c>
      <c r="C16" s="399" t="s">
        <v>27</v>
      </c>
      <c r="D16" s="400"/>
      <c r="E16" s="403">
        <v>14</v>
      </c>
      <c r="F16" s="404">
        <v>9</v>
      </c>
      <c r="H16" s="403"/>
      <c r="I16" s="404">
        <v>7</v>
      </c>
      <c r="K16" s="403">
        <v>9</v>
      </c>
      <c r="L16" s="404">
        <v>4</v>
      </c>
      <c r="N16" s="403">
        <v>11</v>
      </c>
      <c r="O16" s="404">
        <v>7</v>
      </c>
      <c r="Q16" s="403">
        <v>6</v>
      </c>
      <c r="R16" s="404">
        <v>3</v>
      </c>
      <c r="T16" s="403">
        <v>9</v>
      </c>
      <c r="U16" s="404">
        <v>7</v>
      </c>
      <c r="W16" s="440">
        <v>1</v>
      </c>
      <c r="X16" s="441"/>
      <c r="Z16" s="160" t="s">
        <v>78</v>
      </c>
      <c r="AA16" s="93">
        <v>0.1</v>
      </c>
      <c r="AB16" s="405" t="s">
        <v>80</v>
      </c>
    </row>
    <row r="17" spans="2:28" s="76" customFormat="1" x14ac:dyDescent="0.35">
      <c r="B17" s="398">
        <v>6</v>
      </c>
      <c r="C17" s="399" t="s">
        <v>28</v>
      </c>
      <c r="D17" s="400"/>
      <c r="E17" s="403"/>
      <c r="F17" s="404">
        <v>4</v>
      </c>
      <c r="H17" s="403">
        <v>11</v>
      </c>
      <c r="I17" s="404">
        <v>6</v>
      </c>
      <c r="K17" s="403">
        <v>9</v>
      </c>
      <c r="L17" s="404">
        <v>6</v>
      </c>
      <c r="N17" s="403">
        <v>9</v>
      </c>
      <c r="O17" s="404">
        <v>7</v>
      </c>
      <c r="Q17" s="403">
        <v>8</v>
      </c>
      <c r="R17" s="404">
        <v>5</v>
      </c>
      <c r="T17" s="403">
        <v>9</v>
      </c>
      <c r="U17" s="404"/>
      <c r="W17" s="440">
        <v>1</v>
      </c>
      <c r="X17" s="441">
        <v>0.5</v>
      </c>
      <c r="Z17" s="160" t="s">
        <v>77</v>
      </c>
      <c r="AA17" s="93">
        <v>0.1</v>
      </c>
      <c r="AB17" s="405" t="s">
        <v>80</v>
      </c>
    </row>
    <row r="18" spans="2:28" s="76" customFormat="1" x14ac:dyDescent="0.35">
      <c r="B18" s="398">
        <v>7</v>
      </c>
      <c r="C18" s="399" t="s">
        <v>29</v>
      </c>
      <c r="D18" s="400"/>
      <c r="E18" s="403">
        <v>9</v>
      </c>
      <c r="F18" s="404">
        <v>8</v>
      </c>
      <c r="H18" s="403">
        <v>14</v>
      </c>
      <c r="I18" s="404">
        <v>3</v>
      </c>
      <c r="K18" s="403">
        <v>10</v>
      </c>
      <c r="L18" s="404"/>
      <c r="N18" s="403">
        <v>11</v>
      </c>
      <c r="O18" s="404"/>
      <c r="Q18" s="403"/>
      <c r="R18" s="404">
        <v>10</v>
      </c>
      <c r="T18" s="403">
        <v>5</v>
      </c>
      <c r="U18" s="404">
        <v>3</v>
      </c>
      <c r="W18" s="440">
        <v>1</v>
      </c>
      <c r="X18" s="441">
        <v>0.5</v>
      </c>
      <c r="Z18" s="160" t="s">
        <v>77</v>
      </c>
      <c r="AA18" s="93"/>
      <c r="AB18" s="405" t="s">
        <v>80</v>
      </c>
    </row>
    <row r="19" spans="2:28" s="76" customFormat="1" x14ac:dyDescent="0.35">
      <c r="B19" s="398">
        <v>8</v>
      </c>
      <c r="C19" s="399" t="s">
        <v>30</v>
      </c>
      <c r="D19" s="400"/>
      <c r="E19" s="403">
        <v>5</v>
      </c>
      <c r="F19" s="404">
        <v>3</v>
      </c>
      <c r="H19" s="403">
        <v>9</v>
      </c>
      <c r="I19" s="404">
        <v>6</v>
      </c>
      <c r="K19" s="403">
        <v>9</v>
      </c>
      <c r="L19" s="404">
        <v>7</v>
      </c>
      <c r="N19" s="403">
        <v>9</v>
      </c>
      <c r="O19" s="404">
        <v>5</v>
      </c>
      <c r="Q19" s="403">
        <v>15</v>
      </c>
      <c r="R19" s="404">
        <v>12</v>
      </c>
      <c r="T19" s="403">
        <v>9</v>
      </c>
      <c r="U19" s="404">
        <v>8</v>
      </c>
      <c r="W19" s="440">
        <v>1</v>
      </c>
      <c r="X19" s="441">
        <v>0.5</v>
      </c>
      <c r="Z19" s="160"/>
      <c r="AA19" s="93">
        <v>0.05</v>
      </c>
      <c r="AB19" s="405"/>
    </row>
    <row r="20" spans="2:28" s="76" customFormat="1" x14ac:dyDescent="0.35">
      <c r="B20" s="398">
        <v>10</v>
      </c>
      <c r="C20" s="399" t="s">
        <v>31</v>
      </c>
      <c r="D20" s="340"/>
      <c r="E20" s="403">
        <v>5</v>
      </c>
      <c r="F20" s="404"/>
      <c r="H20" s="403">
        <v>10</v>
      </c>
      <c r="I20" s="404">
        <v>4</v>
      </c>
      <c r="K20" s="403">
        <v>11</v>
      </c>
      <c r="L20" s="404">
        <v>8</v>
      </c>
      <c r="N20" s="403">
        <v>12</v>
      </c>
      <c r="O20" s="404">
        <v>7</v>
      </c>
      <c r="Q20" s="403"/>
      <c r="R20" s="404">
        <v>10</v>
      </c>
      <c r="T20" s="403"/>
      <c r="U20" s="404">
        <v>10</v>
      </c>
      <c r="W20" s="440">
        <v>1</v>
      </c>
      <c r="X20" s="441">
        <v>0.5</v>
      </c>
      <c r="Z20" s="160" t="s">
        <v>75</v>
      </c>
      <c r="AA20" s="93">
        <v>0.05</v>
      </c>
      <c r="AB20" s="405" t="s">
        <v>80</v>
      </c>
    </row>
    <row r="21" spans="2:28" s="76" customFormat="1" x14ac:dyDescent="0.35">
      <c r="B21" s="398">
        <v>11</v>
      </c>
      <c r="C21" s="399" t="s">
        <v>32</v>
      </c>
      <c r="D21" s="400"/>
      <c r="E21" s="403">
        <v>10</v>
      </c>
      <c r="F21" s="404">
        <v>8</v>
      </c>
      <c r="H21" s="403">
        <v>9</v>
      </c>
      <c r="I21" s="404"/>
      <c r="K21" s="403"/>
      <c r="L21" s="404">
        <v>5</v>
      </c>
      <c r="N21" s="403"/>
      <c r="O21" s="404">
        <v>7</v>
      </c>
      <c r="Q21" s="403">
        <v>14</v>
      </c>
      <c r="R21" s="404">
        <v>8</v>
      </c>
      <c r="T21" s="403">
        <v>10</v>
      </c>
      <c r="U21" s="404">
        <v>5</v>
      </c>
      <c r="W21" s="440">
        <v>1</v>
      </c>
      <c r="X21" s="441">
        <v>0.5</v>
      </c>
      <c r="Z21" s="160" t="s">
        <v>77</v>
      </c>
      <c r="AA21" s="93">
        <v>0.15</v>
      </c>
      <c r="AB21" s="405" t="s">
        <v>80</v>
      </c>
    </row>
    <row r="22" spans="2:28" s="76" customFormat="1" x14ac:dyDescent="0.35">
      <c r="B22" s="398">
        <v>12</v>
      </c>
      <c r="C22" s="399" t="s">
        <v>33</v>
      </c>
      <c r="D22" s="400"/>
      <c r="E22" s="403">
        <v>11</v>
      </c>
      <c r="F22" s="404">
        <v>10</v>
      </c>
      <c r="H22" s="403">
        <v>15</v>
      </c>
      <c r="I22" s="404">
        <v>9</v>
      </c>
      <c r="K22" s="403">
        <v>13</v>
      </c>
      <c r="L22" s="404">
        <v>5</v>
      </c>
      <c r="N22" s="403">
        <v>15</v>
      </c>
      <c r="O22" s="404">
        <v>8</v>
      </c>
      <c r="Q22" s="403">
        <v>8</v>
      </c>
      <c r="R22" s="404">
        <v>7</v>
      </c>
      <c r="T22" s="403">
        <v>15</v>
      </c>
      <c r="U22" s="404">
        <v>7</v>
      </c>
      <c r="W22" s="440"/>
      <c r="X22" s="441">
        <v>0.5</v>
      </c>
      <c r="Z22" s="160" t="s">
        <v>75</v>
      </c>
      <c r="AA22" s="93">
        <v>0.1</v>
      </c>
      <c r="AB22" s="405" t="s">
        <v>80</v>
      </c>
    </row>
    <row r="23" spans="2:28" x14ac:dyDescent="0.35">
      <c r="C23" s="328"/>
      <c r="D23" s="86"/>
    </row>
    <row r="24" spans="2:28" x14ac:dyDescent="0.35">
      <c r="D24" s="86"/>
    </row>
    <row r="25" spans="2:28" x14ac:dyDescent="0.35">
      <c r="D25" s="86"/>
    </row>
    <row r="26" spans="2:28" x14ac:dyDescent="0.35">
      <c r="D26" s="86"/>
    </row>
    <row r="27" spans="2:28" x14ac:dyDescent="0.35">
      <c r="D27" s="86"/>
    </row>
    <row r="28" spans="2:28" x14ac:dyDescent="0.35">
      <c r="D28" s="86"/>
    </row>
  </sheetData>
  <mergeCells count="10">
    <mergeCell ref="E7:AB7"/>
    <mergeCell ref="E9:L9"/>
    <mergeCell ref="N9:U9"/>
    <mergeCell ref="T10:U10"/>
    <mergeCell ref="Z10:AA10"/>
    <mergeCell ref="E10:F10"/>
    <mergeCell ref="H10:I10"/>
    <mergeCell ref="K10:L10"/>
    <mergeCell ref="N10:O10"/>
    <mergeCell ref="Q10:R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8217D-AC40-4162-9C10-F75EF1FA60C8}">
  <dimension ref="B1:AJ28"/>
  <sheetViews>
    <sheetView showGridLines="0" tabSelected="1" zoomScaleNormal="100" workbookViewId="0">
      <pane xSplit="3" topLeftCell="D1" activePane="topRight" state="frozen"/>
      <selection activeCell="L27" sqref="L27"/>
      <selection pane="topRight" activeCell="E11" sqref="E11:H11"/>
    </sheetView>
  </sheetViews>
  <sheetFormatPr defaultColWidth="12.453125" defaultRowHeight="14.5" x14ac:dyDescent="0.35"/>
  <cols>
    <col min="1" max="1" width="4" style="79" customWidth="1"/>
    <col min="2" max="2" width="3.81640625" style="79" bestFit="1" customWidth="1"/>
    <col min="3" max="3" width="37.453125" style="79" customWidth="1"/>
    <col min="4" max="4" width="4.7265625" style="335" customWidth="1"/>
    <col min="5" max="6" width="9.81640625" style="79" bestFit="1" customWidth="1"/>
    <col min="7" max="7" width="9.1796875" style="79" bestFit="1" customWidth="1"/>
    <col min="8" max="8" width="8.54296875" style="79" bestFit="1" customWidth="1"/>
    <col min="9" max="9" width="2.1796875" style="79" customWidth="1"/>
    <col min="10" max="11" width="9.81640625" style="79" bestFit="1" customWidth="1"/>
    <col min="12" max="12" width="9.1796875" style="79" bestFit="1" customWidth="1"/>
    <col min="13" max="13" width="8.54296875" style="79" bestFit="1" customWidth="1"/>
    <col min="14" max="14" width="2.1796875" style="79" customWidth="1"/>
    <col min="15" max="16" width="9.81640625" style="79" bestFit="1" customWidth="1"/>
    <col min="17" max="17" width="9.1796875" style="79" bestFit="1" customWidth="1"/>
    <col min="18" max="18" width="8.54296875" style="79" bestFit="1" customWidth="1"/>
    <col min="19" max="19" width="2.1796875" style="79" customWidth="1"/>
    <col min="20" max="21" width="9.81640625" style="79" bestFit="1" customWidth="1"/>
    <col min="22" max="22" width="9.1796875" style="79" bestFit="1" customWidth="1"/>
    <col min="23" max="23" width="8.54296875" style="79" bestFit="1" customWidth="1"/>
    <col min="24" max="25" width="11.453125" style="79" bestFit="1" customWidth="1"/>
    <col min="26" max="26" width="2.1796875" style="79" customWidth="1"/>
    <col min="27" max="27" width="9.81640625" style="79" bestFit="1" customWidth="1"/>
    <col min="28" max="28" width="8.54296875" style="79" bestFit="1" customWidth="1"/>
    <col min="29" max="29" width="11.453125" style="79" bestFit="1" customWidth="1"/>
    <col min="30" max="30" width="2.1796875" style="79" customWidth="1"/>
    <col min="31" max="32" width="12.54296875" style="79" bestFit="1" customWidth="1"/>
    <col min="33" max="33" width="2.1796875" style="79" customWidth="1"/>
    <col min="34" max="34" width="42.1796875" style="79" bestFit="1" customWidth="1"/>
    <col min="35" max="35" width="10.1796875" style="79" bestFit="1" customWidth="1"/>
    <col min="36" max="36" width="44.1796875" style="79" bestFit="1" customWidth="1"/>
    <col min="37" max="16384" width="12.453125" style="79"/>
  </cols>
  <sheetData>
    <row r="1" spans="2:36" ht="15" thickBot="1" x14ac:dyDescent="0.4"/>
    <row r="2" spans="2:36" ht="23.5" x14ac:dyDescent="0.35">
      <c r="B2" s="80"/>
      <c r="C2" s="327" t="s">
        <v>59</v>
      </c>
      <c r="D2" s="336"/>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81"/>
      <c r="AE2" s="81"/>
      <c r="AF2" s="81"/>
      <c r="AG2" s="184"/>
      <c r="AH2" s="184"/>
      <c r="AI2" s="184"/>
      <c r="AJ2" s="392"/>
    </row>
    <row r="3" spans="2:36" x14ac:dyDescent="0.35">
      <c r="B3" s="82"/>
      <c r="C3" s="83" t="s">
        <v>60</v>
      </c>
      <c r="D3" s="337"/>
      <c r="AD3" s="84"/>
      <c r="AE3" s="84"/>
      <c r="AF3" s="84"/>
      <c r="AJ3" s="393"/>
    </row>
    <row r="4" spans="2:36" x14ac:dyDescent="0.35">
      <c r="B4" s="82"/>
      <c r="C4" s="83" t="s">
        <v>61</v>
      </c>
      <c r="D4" s="337"/>
      <c r="AD4" s="84"/>
      <c r="AE4" s="84"/>
      <c r="AF4" s="84"/>
      <c r="AJ4" s="393"/>
    </row>
    <row r="5" spans="2:36" x14ac:dyDescent="0.35">
      <c r="B5" s="82"/>
      <c r="C5" s="83"/>
      <c r="D5" s="337"/>
      <c r="AD5" s="84"/>
      <c r="AE5" s="84"/>
      <c r="AF5" s="84"/>
      <c r="AJ5" s="393"/>
    </row>
    <row r="6" spans="2:36" x14ac:dyDescent="0.35">
      <c r="B6" s="82"/>
      <c r="C6" s="83"/>
      <c r="D6" s="337"/>
      <c r="AD6" s="84"/>
      <c r="AE6" s="84"/>
      <c r="AF6" s="84"/>
      <c r="AJ6" s="393"/>
    </row>
    <row r="7" spans="2:36" ht="21" x14ac:dyDescent="0.35">
      <c r="B7" s="82"/>
      <c r="C7" s="83"/>
      <c r="D7" s="337"/>
      <c r="E7" s="449" t="s">
        <v>81</v>
      </c>
      <c r="F7" s="450"/>
      <c r="G7" s="450"/>
      <c r="H7" s="450"/>
      <c r="I7" s="450"/>
      <c r="J7" s="450"/>
      <c r="K7" s="450"/>
      <c r="L7" s="450"/>
      <c r="M7" s="450"/>
      <c r="N7" s="450"/>
      <c r="O7" s="450"/>
      <c r="P7" s="450"/>
      <c r="Q7" s="450"/>
      <c r="R7" s="450"/>
      <c r="S7" s="450"/>
      <c r="T7" s="450"/>
      <c r="U7" s="450"/>
      <c r="V7" s="450"/>
      <c r="W7" s="450"/>
      <c r="X7" s="450"/>
      <c r="Y7" s="450"/>
      <c r="Z7" s="450"/>
      <c r="AA7" s="450"/>
      <c r="AB7" s="450"/>
      <c r="AC7" s="450"/>
      <c r="AD7" s="450"/>
      <c r="AE7" s="450"/>
      <c r="AF7" s="450"/>
      <c r="AG7" s="450"/>
      <c r="AH7" s="450"/>
      <c r="AI7" s="450"/>
      <c r="AJ7" s="451"/>
    </row>
    <row r="8" spans="2:36" ht="15" thickBot="1" x14ac:dyDescent="0.4">
      <c r="B8" s="82"/>
      <c r="C8" s="83"/>
      <c r="AJ8" s="186"/>
    </row>
    <row r="9" spans="2:36" s="85" customFormat="1" ht="19" thickBot="1" x14ac:dyDescent="0.4">
      <c r="B9" s="91"/>
      <c r="C9" s="90"/>
      <c r="D9" s="338"/>
      <c r="E9" s="452" t="s">
        <v>16</v>
      </c>
      <c r="F9" s="453"/>
      <c r="G9" s="453"/>
      <c r="H9" s="453"/>
      <c r="I9" s="453"/>
      <c r="J9" s="453"/>
      <c r="K9" s="453"/>
      <c r="L9" s="453"/>
      <c r="M9" s="453"/>
      <c r="N9" s="453"/>
      <c r="O9" s="453"/>
      <c r="P9" s="453"/>
      <c r="Q9" s="453"/>
      <c r="R9" s="453"/>
      <c r="S9" s="180"/>
      <c r="T9" s="461" t="s">
        <v>20</v>
      </c>
      <c r="U9" s="462"/>
      <c r="V9" s="462"/>
      <c r="W9" s="462"/>
      <c r="X9" s="462"/>
      <c r="Y9" s="462"/>
      <c r="Z9" s="462"/>
      <c r="AA9" s="462"/>
      <c r="AB9" s="462"/>
      <c r="AC9" s="463"/>
      <c r="AD9" s="180"/>
      <c r="AE9" s="159"/>
      <c r="AF9" s="90"/>
      <c r="AG9" s="180"/>
      <c r="AH9" s="159"/>
      <c r="AI9" s="90"/>
      <c r="AJ9" s="394"/>
    </row>
    <row r="10" spans="2:36" s="76" customFormat="1" ht="29.5" thickBot="1" x14ac:dyDescent="0.4">
      <c r="B10" s="88"/>
      <c r="C10" s="395"/>
      <c r="D10" s="339"/>
      <c r="E10" s="467" t="s">
        <v>17</v>
      </c>
      <c r="F10" s="468"/>
      <c r="G10" s="468"/>
      <c r="H10" s="469"/>
      <c r="I10" s="89"/>
      <c r="J10" s="467" t="s">
        <v>82</v>
      </c>
      <c r="K10" s="468"/>
      <c r="L10" s="468"/>
      <c r="M10" s="469"/>
      <c r="N10" s="74"/>
      <c r="O10" s="467" t="s">
        <v>19</v>
      </c>
      <c r="P10" s="468"/>
      <c r="Q10" s="468"/>
      <c r="R10" s="469"/>
      <c r="S10" s="74"/>
      <c r="T10" s="470" t="s">
        <v>83</v>
      </c>
      <c r="U10" s="471"/>
      <c r="V10" s="471"/>
      <c r="W10" s="471"/>
      <c r="X10" s="471"/>
      <c r="Y10" s="472"/>
      <c r="Z10" s="74"/>
      <c r="AA10" s="464" t="s">
        <v>23</v>
      </c>
      <c r="AB10" s="465"/>
      <c r="AC10" s="466"/>
      <c r="AD10" s="75"/>
      <c r="AE10" s="322" t="s">
        <v>63</v>
      </c>
      <c r="AF10" s="323" t="s">
        <v>64</v>
      </c>
      <c r="AG10" s="75"/>
      <c r="AH10" s="447" t="s">
        <v>65</v>
      </c>
      <c r="AI10" s="448"/>
      <c r="AJ10" s="386" t="s">
        <v>13</v>
      </c>
    </row>
    <row r="11" spans="2:36" s="78" customFormat="1" ht="73" thickBot="1" x14ac:dyDescent="0.4">
      <c r="B11" s="77" t="s">
        <v>66</v>
      </c>
      <c r="C11" s="71" t="s">
        <v>3</v>
      </c>
      <c r="D11" s="339"/>
      <c r="E11" s="329" t="s">
        <v>84</v>
      </c>
      <c r="F11" s="330" t="s">
        <v>85</v>
      </c>
      <c r="G11" s="331" t="s">
        <v>86</v>
      </c>
      <c r="H11" s="332" t="s">
        <v>87</v>
      </c>
      <c r="I11" s="74"/>
      <c r="J11" s="92" t="s">
        <v>84</v>
      </c>
      <c r="K11" s="189" t="s">
        <v>85</v>
      </c>
      <c r="L11" s="121" t="s">
        <v>86</v>
      </c>
      <c r="M11" s="73" t="s">
        <v>88</v>
      </c>
      <c r="N11" s="74"/>
      <c r="O11" s="92" t="s">
        <v>84</v>
      </c>
      <c r="P11" s="189" t="s">
        <v>85</v>
      </c>
      <c r="Q11" s="121" t="s">
        <v>89</v>
      </c>
      <c r="R11" s="73" t="s">
        <v>87</v>
      </c>
      <c r="S11" s="74"/>
      <c r="T11" s="333" t="s">
        <v>90</v>
      </c>
      <c r="U11" s="330" t="s">
        <v>91</v>
      </c>
      <c r="V11" s="330" t="s">
        <v>92</v>
      </c>
      <c r="W11" s="330" t="s">
        <v>93</v>
      </c>
      <c r="X11" s="330" t="s">
        <v>94</v>
      </c>
      <c r="Y11" s="332" t="s">
        <v>95</v>
      </c>
      <c r="Z11" s="74"/>
      <c r="AA11" s="329" t="s">
        <v>96</v>
      </c>
      <c r="AB11" s="331" t="s">
        <v>97</v>
      </c>
      <c r="AC11" s="332" t="s">
        <v>98</v>
      </c>
      <c r="AD11" s="75"/>
      <c r="AE11" s="321" t="s">
        <v>71</v>
      </c>
      <c r="AF11" s="183" t="s">
        <v>72</v>
      </c>
      <c r="AG11" s="75"/>
      <c r="AH11" s="72" t="s">
        <v>73</v>
      </c>
      <c r="AI11" s="73" t="s">
        <v>12</v>
      </c>
      <c r="AJ11" s="387" t="s">
        <v>74</v>
      </c>
    </row>
    <row r="12" spans="2:36" x14ac:dyDescent="0.35">
      <c r="B12" s="87">
        <v>1</v>
      </c>
      <c r="C12" s="334" t="s">
        <v>15</v>
      </c>
      <c r="D12" s="86"/>
      <c r="E12" s="181">
        <v>80</v>
      </c>
      <c r="F12" s="187">
        <v>70</v>
      </c>
      <c r="G12" s="187">
        <v>59</v>
      </c>
      <c r="H12" s="182">
        <v>51</v>
      </c>
      <c r="I12" s="86"/>
      <c r="J12" s="181">
        <v>95</v>
      </c>
      <c r="K12" s="187">
        <v>89</v>
      </c>
      <c r="L12" s="187">
        <v>55</v>
      </c>
      <c r="M12" s="182">
        <v>33</v>
      </c>
      <c r="N12" s="86"/>
      <c r="O12" s="181">
        <v>79</v>
      </c>
      <c r="P12" s="187">
        <v>71</v>
      </c>
      <c r="Q12" s="187">
        <v>69</v>
      </c>
      <c r="R12" s="182">
        <v>50</v>
      </c>
      <c r="S12" s="86"/>
      <c r="T12" s="181">
        <v>71</v>
      </c>
      <c r="U12" s="187">
        <v>57</v>
      </c>
      <c r="V12" s="187">
        <v>60</v>
      </c>
      <c r="W12" s="187">
        <v>56</v>
      </c>
      <c r="X12" s="187">
        <v>63</v>
      </c>
      <c r="Y12" s="187">
        <v>69</v>
      </c>
      <c r="Z12" s="86"/>
      <c r="AA12" s="181">
        <v>56</v>
      </c>
      <c r="AB12" s="187">
        <v>55</v>
      </c>
      <c r="AC12" s="181">
        <v>84</v>
      </c>
      <c r="AD12" s="86"/>
      <c r="AE12" s="442">
        <v>1</v>
      </c>
      <c r="AF12" s="443">
        <v>0.5</v>
      </c>
      <c r="AG12" s="86"/>
      <c r="AH12" s="160" t="s">
        <v>75</v>
      </c>
      <c r="AI12" s="93">
        <v>0.15</v>
      </c>
      <c r="AJ12" s="390" t="s">
        <v>99</v>
      </c>
    </row>
    <row r="13" spans="2:36" x14ac:dyDescent="0.35">
      <c r="B13" s="87">
        <v>2</v>
      </c>
      <c r="C13" s="334" t="s">
        <v>24</v>
      </c>
      <c r="D13" s="86"/>
      <c r="E13" s="181">
        <v>81</v>
      </c>
      <c r="F13" s="187"/>
      <c r="G13" s="187">
        <v>50</v>
      </c>
      <c r="H13" s="182">
        <v>50</v>
      </c>
      <c r="J13" s="181">
        <v>111</v>
      </c>
      <c r="K13" s="187">
        <v>118</v>
      </c>
      <c r="L13" s="187">
        <v>25</v>
      </c>
      <c r="M13" s="182">
        <v>72</v>
      </c>
      <c r="O13" s="181">
        <v>65</v>
      </c>
      <c r="P13" s="187">
        <v>55</v>
      </c>
      <c r="Q13" s="187">
        <v>54</v>
      </c>
      <c r="R13" s="182"/>
      <c r="T13" s="181"/>
      <c r="U13" s="187">
        <v>64</v>
      </c>
      <c r="V13" s="187">
        <v>74</v>
      </c>
      <c r="W13" s="187"/>
      <c r="X13" s="187">
        <v>87</v>
      </c>
      <c r="Y13" s="187"/>
      <c r="AA13" s="181"/>
      <c r="AB13" s="187">
        <v>56</v>
      </c>
      <c r="AC13" s="181"/>
      <c r="AE13" s="442">
        <v>1</v>
      </c>
      <c r="AF13" s="443">
        <v>0.5</v>
      </c>
      <c r="AH13" s="160" t="s">
        <v>77</v>
      </c>
      <c r="AI13" s="93">
        <v>0.1</v>
      </c>
      <c r="AJ13" s="390" t="s">
        <v>99</v>
      </c>
    </row>
    <row r="14" spans="2:36" x14ac:dyDescent="0.35">
      <c r="B14" s="87">
        <v>3</v>
      </c>
      <c r="C14" s="334" t="s">
        <v>25</v>
      </c>
      <c r="D14" s="86"/>
      <c r="E14" s="181">
        <v>62</v>
      </c>
      <c r="F14" s="187">
        <v>114</v>
      </c>
      <c r="G14" s="187"/>
      <c r="H14" s="182"/>
      <c r="J14" s="181"/>
      <c r="K14" s="187"/>
      <c r="L14" s="187">
        <v>78</v>
      </c>
      <c r="M14" s="182">
        <v>63</v>
      </c>
      <c r="O14" s="181">
        <v>62</v>
      </c>
      <c r="P14" s="187">
        <v>96</v>
      </c>
      <c r="Q14" s="187">
        <v>56</v>
      </c>
      <c r="R14" s="182">
        <v>34</v>
      </c>
      <c r="T14" s="181">
        <v>90</v>
      </c>
      <c r="U14" s="187">
        <v>102</v>
      </c>
      <c r="V14" s="187"/>
      <c r="W14" s="187">
        <v>56</v>
      </c>
      <c r="X14" s="187">
        <v>53</v>
      </c>
      <c r="Y14" s="187">
        <v>106</v>
      </c>
      <c r="AA14" s="181">
        <v>104</v>
      </c>
      <c r="AB14" s="187">
        <v>28</v>
      </c>
      <c r="AC14" s="181">
        <v>98</v>
      </c>
      <c r="AE14" s="442"/>
      <c r="AF14" s="443">
        <v>0.5</v>
      </c>
      <c r="AH14" s="160" t="s">
        <v>78</v>
      </c>
      <c r="AI14" s="93">
        <v>0.2</v>
      </c>
      <c r="AJ14" s="390" t="s">
        <v>99</v>
      </c>
    </row>
    <row r="15" spans="2:36" x14ac:dyDescent="0.35">
      <c r="B15" s="87">
        <v>4</v>
      </c>
      <c r="C15" s="334" t="s">
        <v>26</v>
      </c>
      <c r="D15" s="86"/>
      <c r="E15" s="181"/>
      <c r="F15" s="187"/>
      <c r="G15" s="187">
        <v>35</v>
      </c>
      <c r="H15" s="182">
        <v>66</v>
      </c>
      <c r="J15" s="181">
        <v>54</v>
      </c>
      <c r="K15" s="187">
        <v>108</v>
      </c>
      <c r="L15" s="187">
        <v>27</v>
      </c>
      <c r="M15" s="182">
        <v>56</v>
      </c>
      <c r="O15" s="181"/>
      <c r="P15" s="187"/>
      <c r="Q15" s="187">
        <v>37</v>
      </c>
      <c r="R15" s="182">
        <v>55</v>
      </c>
      <c r="T15" s="181">
        <v>91</v>
      </c>
      <c r="U15" s="187">
        <v>64</v>
      </c>
      <c r="V15" s="187">
        <v>76</v>
      </c>
      <c r="W15" s="187">
        <v>52</v>
      </c>
      <c r="X15" s="187">
        <v>90</v>
      </c>
      <c r="Y15" s="187">
        <v>62</v>
      </c>
      <c r="AA15" s="181">
        <v>101</v>
      </c>
      <c r="AB15" s="187">
        <v>40</v>
      </c>
      <c r="AC15" s="181">
        <v>78</v>
      </c>
      <c r="AE15" s="442">
        <v>1</v>
      </c>
      <c r="AF15" s="443">
        <v>0.5</v>
      </c>
      <c r="AH15" s="160"/>
      <c r="AI15" s="93"/>
      <c r="AJ15" s="390"/>
    </row>
    <row r="16" spans="2:36" x14ac:dyDescent="0.35">
      <c r="B16" s="87">
        <v>5</v>
      </c>
      <c r="C16" s="334" t="s">
        <v>27</v>
      </c>
      <c r="D16" s="86"/>
      <c r="E16" s="181">
        <v>51</v>
      </c>
      <c r="F16" s="187">
        <v>50</v>
      </c>
      <c r="G16" s="187">
        <v>54</v>
      </c>
      <c r="H16" s="182">
        <v>37</v>
      </c>
      <c r="J16" s="181">
        <v>78</v>
      </c>
      <c r="K16" s="187">
        <v>119</v>
      </c>
      <c r="L16" s="187">
        <v>29</v>
      </c>
      <c r="M16" s="182"/>
      <c r="O16" s="181">
        <v>70</v>
      </c>
      <c r="P16" s="187">
        <v>87</v>
      </c>
      <c r="Q16" s="187">
        <v>63</v>
      </c>
      <c r="R16" s="182">
        <v>69</v>
      </c>
      <c r="T16" s="181">
        <v>85</v>
      </c>
      <c r="U16" s="187">
        <v>119</v>
      </c>
      <c r="V16" s="187">
        <v>74</v>
      </c>
      <c r="W16" s="187"/>
      <c r="X16" s="187"/>
      <c r="Y16" s="187">
        <v>90</v>
      </c>
      <c r="AA16" s="181">
        <v>117</v>
      </c>
      <c r="AB16" s="187"/>
      <c r="AC16" s="181">
        <v>103</v>
      </c>
      <c r="AE16" s="442">
        <v>1</v>
      </c>
      <c r="AF16" s="443"/>
      <c r="AH16" s="160" t="s">
        <v>78</v>
      </c>
      <c r="AI16" s="93">
        <v>0.1</v>
      </c>
      <c r="AJ16" s="390" t="s">
        <v>99</v>
      </c>
    </row>
    <row r="17" spans="2:36" x14ac:dyDescent="0.35">
      <c r="B17" s="87">
        <v>6</v>
      </c>
      <c r="C17" s="334" t="s">
        <v>28</v>
      </c>
      <c r="D17" s="86"/>
      <c r="E17" s="181"/>
      <c r="F17" s="187">
        <v>54</v>
      </c>
      <c r="G17" s="187">
        <v>67</v>
      </c>
      <c r="H17" s="182"/>
      <c r="J17" s="181">
        <v>105</v>
      </c>
      <c r="K17" s="187"/>
      <c r="L17" s="187"/>
      <c r="M17" s="182">
        <v>34</v>
      </c>
      <c r="O17" s="181">
        <v>73</v>
      </c>
      <c r="P17" s="187">
        <v>82</v>
      </c>
      <c r="Q17" s="187">
        <v>70</v>
      </c>
      <c r="R17" s="182"/>
      <c r="T17" s="181">
        <v>119</v>
      </c>
      <c r="U17" s="187"/>
      <c r="V17" s="187"/>
      <c r="W17" s="187">
        <v>45</v>
      </c>
      <c r="X17" s="187">
        <v>89</v>
      </c>
      <c r="Y17" s="187"/>
      <c r="AA17" s="181">
        <v>66</v>
      </c>
      <c r="AB17" s="187">
        <v>33</v>
      </c>
      <c r="AC17" s="181">
        <v>92</v>
      </c>
      <c r="AE17" s="442"/>
      <c r="AF17" s="443">
        <v>0.5</v>
      </c>
      <c r="AH17" s="160" t="s">
        <v>77</v>
      </c>
      <c r="AI17" s="93">
        <v>0.1</v>
      </c>
      <c r="AJ17" s="390" t="s">
        <v>99</v>
      </c>
    </row>
    <row r="18" spans="2:36" x14ac:dyDescent="0.35">
      <c r="B18" s="87">
        <v>7</v>
      </c>
      <c r="C18" s="334" t="s">
        <v>29</v>
      </c>
      <c r="D18" s="86"/>
      <c r="E18" s="181">
        <v>111</v>
      </c>
      <c r="F18" s="187"/>
      <c r="G18" s="187"/>
      <c r="H18" s="182">
        <v>25</v>
      </c>
      <c r="J18" s="181"/>
      <c r="K18" s="187">
        <v>90</v>
      </c>
      <c r="L18" s="187">
        <v>37</v>
      </c>
      <c r="M18" s="182"/>
      <c r="O18" s="181"/>
      <c r="P18" s="187"/>
      <c r="Q18" s="187">
        <v>56</v>
      </c>
      <c r="R18" s="182">
        <v>70</v>
      </c>
      <c r="T18" s="181">
        <v>110</v>
      </c>
      <c r="U18" s="187">
        <v>56</v>
      </c>
      <c r="V18" s="187">
        <v>38</v>
      </c>
      <c r="W18" s="187">
        <v>74</v>
      </c>
      <c r="X18" s="187">
        <v>52</v>
      </c>
      <c r="Y18" s="187">
        <v>92</v>
      </c>
      <c r="AA18" s="181"/>
      <c r="AB18" s="187">
        <v>25</v>
      </c>
      <c r="AC18" s="181">
        <v>111</v>
      </c>
      <c r="AE18" s="442">
        <v>1</v>
      </c>
      <c r="AF18" s="443">
        <v>0.5</v>
      </c>
      <c r="AH18" s="160" t="s">
        <v>77</v>
      </c>
      <c r="AI18" s="93">
        <v>0.15</v>
      </c>
      <c r="AJ18" s="390"/>
    </row>
    <row r="19" spans="2:36" x14ac:dyDescent="0.35">
      <c r="B19" s="87">
        <v>8</v>
      </c>
      <c r="C19" s="334" t="s">
        <v>30</v>
      </c>
      <c r="D19" s="86"/>
      <c r="E19" s="181"/>
      <c r="F19" s="187">
        <v>56</v>
      </c>
      <c r="G19" s="187">
        <v>65</v>
      </c>
      <c r="H19" s="182"/>
      <c r="J19" s="181">
        <v>73</v>
      </c>
      <c r="K19" s="187">
        <v>104</v>
      </c>
      <c r="L19" s="187">
        <v>50</v>
      </c>
      <c r="M19" s="182">
        <v>25</v>
      </c>
      <c r="O19" s="181">
        <v>119</v>
      </c>
      <c r="P19" s="187">
        <v>80</v>
      </c>
      <c r="Q19" s="187">
        <v>77</v>
      </c>
      <c r="R19" s="182">
        <v>42</v>
      </c>
      <c r="T19" s="181"/>
      <c r="U19" s="187">
        <v>67</v>
      </c>
      <c r="V19" s="187">
        <v>60</v>
      </c>
      <c r="W19" s="187"/>
      <c r="X19" s="187"/>
      <c r="Y19" s="187">
        <v>103</v>
      </c>
      <c r="AA19" s="181">
        <v>98</v>
      </c>
      <c r="AB19" s="187">
        <v>77</v>
      </c>
      <c r="AC19" s="181"/>
      <c r="AE19" s="442">
        <v>1</v>
      </c>
      <c r="AF19" s="443"/>
      <c r="AH19" s="160"/>
      <c r="AI19" s="93"/>
      <c r="AJ19" s="390" t="s">
        <v>99</v>
      </c>
    </row>
    <row r="20" spans="2:36" x14ac:dyDescent="0.35">
      <c r="B20" s="87">
        <v>10</v>
      </c>
      <c r="C20" s="334" t="s">
        <v>31</v>
      </c>
      <c r="D20" s="340"/>
      <c r="E20" s="181">
        <v>89</v>
      </c>
      <c r="F20" s="187">
        <v>71</v>
      </c>
      <c r="G20" s="187"/>
      <c r="H20" s="182">
        <v>68</v>
      </c>
      <c r="J20" s="181"/>
      <c r="K20" s="187"/>
      <c r="L20" s="187">
        <v>42</v>
      </c>
      <c r="M20" s="182">
        <v>77</v>
      </c>
      <c r="O20" s="181">
        <v>73</v>
      </c>
      <c r="P20" s="187">
        <v>82</v>
      </c>
      <c r="Q20" s="187"/>
      <c r="R20" s="182">
        <v>76</v>
      </c>
      <c r="T20" s="181">
        <v>120</v>
      </c>
      <c r="U20" s="187">
        <v>99</v>
      </c>
      <c r="V20" s="187">
        <v>79</v>
      </c>
      <c r="W20" s="187">
        <v>69</v>
      </c>
      <c r="X20" s="187">
        <v>83</v>
      </c>
      <c r="Y20" s="187">
        <v>99</v>
      </c>
      <c r="AA20" s="181">
        <v>53</v>
      </c>
      <c r="AB20" s="187">
        <v>33</v>
      </c>
      <c r="AC20" s="181">
        <v>95</v>
      </c>
      <c r="AE20" s="442">
        <v>1</v>
      </c>
      <c r="AF20" s="443">
        <v>0.5</v>
      </c>
      <c r="AH20" s="160" t="s">
        <v>75</v>
      </c>
      <c r="AI20" s="93">
        <v>0.05</v>
      </c>
      <c r="AJ20" s="390" t="s">
        <v>99</v>
      </c>
    </row>
    <row r="21" spans="2:36" x14ac:dyDescent="0.35">
      <c r="B21" s="87">
        <v>11</v>
      </c>
      <c r="C21" s="334" t="s">
        <v>32</v>
      </c>
      <c r="D21" s="86"/>
      <c r="E21" s="181"/>
      <c r="F21" s="187"/>
      <c r="G21" s="187">
        <v>68</v>
      </c>
      <c r="H21" s="182">
        <v>70</v>
      </c>
      <c r="J21" s="181">
        <v>59</v>
      </c>
      <c r="K21" s="187">
        <v>78</v>
      </c>
      <c r="L21" s="187"/>
      <c r="M21" s="182"/>
      <c r="O21" s="181"/>
      <c r="P21" s="187">
        <v>89</v>
      </c>
      <c r="Q21" s="187">
        <v>27</v>
      </c>
      <c r="R21" s="182">
        <v>58</v>
      </c>
      <c r="T21" s="181">
        <v>95</v>
      </c>
      <c r="U21" s="187"/>
      <c r="V21" s="187"/>
      <c r="W21" s="187"/>
      <c r="X21" s="187">
        <v>115</v>
      </c>
      <c r="Y21" s="187"/>
      <c r="AA21" s="181"/>
      <c r="AB21" s="187"/>
      <c r="AC21" s="181">
        <v>113</v>
      </c>
      <c r="AE21" s="442"/>
      <c r="AF21" s="443">
        <v>0.5</v>
      </c>
      <c r="AH21" s="160" t="s">
        <v>77</v>
      </c>
      <c r="AI21" s="93">
        <v>0.15</v>
      </c>
      <c r="AJ21" s="390" t="s">
        <v>99</v>
      </c>
    </row>
    <row r="22" spans="2:36" x14ac:dyDescent="0.35">
      <c r="B22" s="87">
        <v>12</v>
      </c>
      <c r="C22" s="334" t="s">
        <v>33</v>
      </c>
      <c r="D22" s="86"/>
      <c r="E22" s="181">
        <v>56</v>
      </c>
      <c r="F22" s="187">
        <v>61</v>
      </c>
      <c r="G22" s="187">
        <v>28</v>
      </c>
      <c r="H22" s="182">
        <v>75</v>
      </c>
      <c r="J22" s="181">
        <v>79</v>
      </c>
      <c r="K22" s="187">
        <v>54</v>
      </c>
      <c r="L22" s="187">
        <v>76</v>
      </c>
      <c r="M22" s="182">
        <v>46</v>
      </c>
      <c r="O22" s="181">
        <v>111</v>
      </c>
      <c r="P22" s="187">
        <v>119</v>
      </c>
      <c r="Q22" s="187"/>
      <c r="R22" s="182">
        <v>60</v>
      </c>
      <c r="T22" s="181">
        <v>102</v>
      </c>
      <c r="U22" s="187">
        <v>59</v>
      </c>
      <c r="V22" s="187">
        <v>49</v>
      </c>
      <c r="W22" s="187">
        <v>72</v>
      </c>
      <c r="X22" s="187">
        <v>59</v>
      </c>
      <c r="Y22" s="187">
        <v>59</v>
      </c>
      <c r="AA22" s="181">
        <v>77</v>
      </c>
      <c r="AB22" s="187">
        <v>66</v>
      </c>
      <c r="AC22" s="181">
        <v>109</v>
      </c>
      <c r="AE22" s="442">
        <v>1</v>
      </c>
      <c r="AF22" s="443">
        <v>0.5</v>
      </c>
      <c r="AH22" s="160" t="s">
        <v>75</v>
      </c>
      <c r="AI22" s="93">
        <v>0.1</v>
      </c>
      <c r="AJ22" s="390" t="s">
        <v>99</v>
      </c>
    </row>
    <row r="23" spans="2:36" x14ac:dyDescent="0.35">
      <c r="C23" s="328"/>
      <c r="D23" s="86"/>
    </row>
    <row r="24" spans="2:36" x14ac:dyDescent="0.35">
      <c r="D24" s="86"/>
    </row>
    <row r="25" spans="2:36" x14ac:dyDescent="0.35">
      <c r="D25" s="86"/>
    </row>
    <row r="26" spans="2:36" x14ac:dyDescent="0.35">
      <c r="D26" s="86"/>
    </row>
    <row r="27" spans="2:36" x14ac:dyDescent="0.35">
      <c r="D27" s="86"/>
    </row>
    <row r="28" spans="2:36" x14ac:dyDescent="0.35">
      <c r="D28" s="86"/>
    </row>
  </sheetData>
  <mergeCells count="9">
    <mergeCell ref="E7:AJ7"/>
    <mergeCell ref="E9:R9"/>
    <mergeCell ref="T9:AC9"/>
    <mergeCell ref="AA10:AC10"/>
    <mergeCell ref="AH10:AI10"/>
    <mergeCell ref="E10:H10"/>
    <mergeCell ref="J10:M10"/>
    <mergeCell ref="O10:R10"/>
    <mergeCell ref="T10:Y10"/>
  </mergeCells>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0A37-41B4-48AC-8FB5-D04F037591AB}">
  <dimension ref="B1:AJ28"/>
  <sheetViews>
    <sheetView showGridLines="0" zoomScale="60" zoomScaleNormal="60" workbookViewId="0">
      <pane xSplit="3" topLeftCell="D1" activePane="topRight" state="frozen"/>
      <selection activeCell="L27" sqref="L27"/>
      <selection pane="topRight"/>
    </sheetView>
  </sheetViews>
  <sheetFormatPr defaultColWidth="12.453125" defaultRowHeight="14.5" x14ac:dyDescent="0.35"/>
  <cols>
    <col min="1" max="1" width="4.54296875" style="79" customWidth="1"/>
    <col min="2" max="2" width="3.81640625" style="79" bestFit="1" customWidth="1"/>
    <col min="3" max="3" width="38.1796875" style="79" customWidth="1"/>
    <col min="4" max="4" width="4.7265625" style="335" customWidth="1"/>
    <col min="5" max="6" width="9.81640625" style="79" bestFit="1" customWidth="1"/>
    <col min="7" max="8" width="8.54296875" style="79" bestFit="1" customWidth="1"/>
    <col min="9" max="9" width="2.1796875" style="79" customWidth="1"/>
    <col min="10" max="11" width="9.81640625" style="79" bestFit="1" customWidth="1"/>
    <col min="12" max="13" width="8.54296875" style="79" bestFit="1" customWidth="1"/>
    <col min="14" max="14" width="2.1796875" style="79" customWidth="1"/>
    <col min="15" max="16" width="9.81640625" style="79" bestFit="1" customWidth="1"/>
    <col min="17" max="18" width="8.54296875" style="79" bestFit="1" customWidth="1"/>
    <col min="19" max="19" width="2.1796875" style="79" customWidth="1"/>
    <col min="20" max="21" width="9.81640625" style="79" bestFit="1" customWidth="1"/>
    <col min="22" max="22" width="8.54296875" style="79" bestFit="1" customWidth="1"/>
    <col min="23" max="23" width="8.453125" style="79" bestFit="1" customWidth="1"/>
    <col min="24" max="25" width="11.453125" style="79" bestFit="1" customWidth="1"/>
    <col min="26" max="26" width="2.1796875" style="79" customWidth="1"/>
    <col min="27" max="27" width="9.81640625" style="79" bestFit="1" customWidth="1"/>
    <col min="28" max="28" width="8.453125" style="79" bestFit="1" customWidth="1"/>
    <col min="29" max="29" width="11.453125" style="79" bestFit="1" customWidth="1"/>
    <col min="30" max="30" width="2.1796875" style="79" customWidth="1"/>
    <col min="31" max="32" width="12.54296875" style="79" bestFit="1" customWidth="1"/>
    <col min="33" max="33" width="2.1796875" style="79" customWidth="1"/>
    <col min="34" max="34" width="42.1796875" style="79" bestFit="1" customWidth="1"/>
    <col min="35" max="35" width="10.1796875" style="79" bestFit="1" customWidth="1"/>
    <col min="36" max="36" width="44.1796875" style="79" bestFit="1" customWidth="1"/>
    <col min="37" max="16384" width="12.453125" style="79"/>
  </cols>
  <sheetData>
    <row r="1" spans="2:36" ht="15" thickBot="1" x14ac:dyDescent="0.4"/>
    <row r="2" spans="2:36" ht="23.5" x14ac:dyDescent="0.35">
      <c r="B2" s="80"/>
      <c r="C2" s="327" t="s">
        <v>59</v>
      </c>
      <c r="D2" s="336"/>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81"/>
      <c r="AE2" s="81"/>
      <c r="AF2" s="81"/>
      <c r="AG2" s="184"/>
      <c r="AH2" s="184"/>
      <c r="AI2" s="184"/>
      <c r="AJ2" s="392"/>
    </row>
    <row r="3" spans="2:36" x14ac:dyDescent="0.35">
      <c r="B3" s="82"/>
      <c r="C3" s="83" t="s">
        <v>60</v>
      </c>
      <c r="D3" s="337"/>
      <c r="AD3" s="84"/>
      <c r="AE3" s="84"/>
      <c r="AF3" s="84"/>
      <c r="AJ3" s="393"/>
    </row>
    <row r="4" spans="2:36" x14ac:dyDescent="0.35">
      <c r="B4" s="82"/>
      <c r="C4" s="83" t="s">
        <v>61</v>
      </c>
      <c r="D4" s="337"/>
      <c r="AD4" s="84"/>
      <c r="AE4" s="84"/>
      <c r="AF4" s="84"/>
      <c r="AJ4" s="393"/>
    </row>
    <row r="5" spans="2:36" x14ac:dyDescent="0.35">
      <c r="B5" s="82"/>
      <c r="C5" s="83"/>
      <c r="D5" s="337"/>
      <c r="AD5" s="84"/>
      <c r="AE5" s="84"/>
      <c r="AF5" s="84"/>
      <c r="AJ5" s="393"/>
    </row>
    <row r="6" spans="2:36" x14ac:dyDescent="0.35">
      <c r="B6" s="82"/>
      <c r="C6" s="83"/>
      <c r="D6" s="337"/>
      <c r="AD6" s="84"/>
      <c r="AE6" s="84"/>
      <c r="AF6" s="84"/>
      <c r="AJ6" s="393"/>
    </row>
    <row r="7" spans="2:36" ht="21" x14ac:dyDescent="0.35">
      <c r="B7" s="82"/>
      <c r="C7" s="83"/>
      <c r="D7" s="337"/>
      <c r="E7" s="449" t="s">
        <v>100</v>
      </c>
      <c r="F7" s="450"/>
      <c r="G7" s="450"/>
      <c r="H7" s="450"/>
      <c r="I7" s="450"/>
      <c r="J7" s="450"/>
      <c r="K7" s="450"/>
      <c r="L7" s="450"/>
      <c r="M7" s="450"/>
      <c r="N7" s="450"/>
      <c r="O7" s="450"/>
      <c r="P7" s="450"/>
      <c r="Q7" s="450"/>
      <c r="R7" s="450"/>
      <c r="S7" s="450"/>
      <c r="T7" s="450"/>
      <c r="U7" s="450"/>
      <c r="V7" s="450"/>
      <c r="W7" s="450"/>
      <c r="X7" s="450"/>
      <c r="Y7" s="450"/>
      <c r="Z7" s="450"/>
      <c r="AA7" s="450"/>
      <c r="AB7" s="450"/>
      <c r="AC7" s="450"/>
      <c r="AD7" s="450"/>
      <c r="AE7" s="450"/>
      <c r="AF7" s="450"/>
      <c r="AG7" s="450"/>
      <c r="AH7" s="450"/>
      <c r="AI7" s="450"/>
      <c r="AJ7" s="451"/>
    </row>
    <row r="8" spans="2:36" ht="15" thickBot="1" x14ac:dyDescent="0.4">
      <c r="B8" s="82"/>
      <c r="C8" s="83"/>
      <c r="AJ8" s="186"/>
    </row>
    <row r="9" spans="2:36" s="85" customFormat="1" ht="19" thickBot="1" x14ac:dyDescent="0.4">
      <c r="B9" s="91"/>
      <c r="C9" s="90"/>
      <c r="D9" s="338"/>
      <c r="E9" s="452" t="s">
        <v>16</v>
      </c>
      <c r="F9" s="453"/>
      <c r="G9" s="453"/>
      <c r="H9" s="453"/>
      <c r="I9" s="453"/>
      <c r="J9" s="453"/>
      <c r="K9" s="453"/>
      <c r="L9" s="453"/>
      <c r="M9" s="453"/>
      <c r="N9" s="453"/>
      <c r="O9" s="453"/>
      <c r="P9" s="453"/>
      <c r="Q9" s="453"/>
      <c r="R9" s="453"/>
      <c r="S9" s="180"/>
      <c r="T9" s="473" t="s">
        <v>20</v>
      </c>
      <c r="U9" s="474"/>
      <c r="V9" s="474"/>
      <c r="W9" s="474"/>
      <c r="X9" s="474"/>
      <c r="Y9" s="474"/>
      <c r="Z9" s="474"/>
      <c r="AA9" s="474"/>
      <c r="AB9" s="474"/>
      <c r="AC9" s="475"/>
      <c r="AD9" s="180"/>
      <c r="AE9" s="180"/>
      <c r="AF9" s="180"/>
      <c r="AG9" s="180"/>
      <c r="AH9" s="159"/>
      <c r="AI9" s="90"/>
      <c r="AJ9" s="396"/>
    </row>
    <row r="10" spans="2:36" s="76" customFormat="1" ht="29.5" thickBot="1" x14ac:dyDescent="0.4">
      <c r="B10" s="88"/>
      <c r="C10" s="395"/>
      <c r="D10" s="339"/>
      <c r="E10" s="467" t="s">
        <v>17</v>
      </c>
      <c r="F10" s="468"/>
      <c r="G10" s="468"/>
      <c r="H10" s="469"/>
      <c r="I10" s="89"/>
      <c r="J10" s="467" t="s">
        <v>82</v>
      </c>
      <c r="K10" s="468"/>
      <c r="L10" s="468"/>
      <c r="M10" s="469"/>
      <c r="N10" s="74"/>
      <c r="O10" s="467" t="s">
        <v>19</v>
      </c>
      <c r="P10" s="468"/>
      <c r="Q10" s="468"/>
      <c r="R10" s="469"/>
      <c r="S10" s="74"/>
      <c r="T10" s="479" t="s">
        <v>83</v>
      </c>
      <c r="U10" s="480"/>
      <c r="V10" s="480"/>
      <c r="W10" s="480"/>
      <c r="X10" s="480"/>
      <c r="Y10" s="481"/>
      <c r="Z10" s="74"/>
      <c r="AA10" s="457" t="s">
        <v>23</v>
      </c>
      <c r="AB10" s="476"/>
      <c r="AC10" s="458"/>
      <c r="AD10" s="75"/>
      <c r="AE10" s="322" t="s">
        <v>63</v>
      </c>
      <c r="AF10" s="323" t="s">
        <v>64</v>
      </c>
      <c r="AG10" s="75"/>
      <c r="AH10" s="477" t="s">
        <v>65</v>
      </c>
      <c r="AI10" s="478"/>
      <c r="AJ10" s="386" t="s">
        <v>13</v>
      </c>
    </row>
    <row r="11" spans="2:36" s="78" customFormat="1" ht="87.5" thickBot="1" x14ac:dyDescent="0.4">
      <c r="B11" s="77" t="s">
        <v>66</v>
      </c>
      <c r="C11" s="71" t="s">
        <v>3</v>
      </c>
      <c r="D11" s="339"/>
      <c r="E11" s="92" t="s">
        <v>84</v>
      </c>
      <c r="F11" s="189" t="s">
        <v>85</v>
      </c>
      <c r="G11" s="121" t="s">
        <v>86</v>
      </c>
      <c r="H11" s="73" t="s">
        <v>87</v>
      </c>
      <c r="I11" s="74"/>
      <c r="J11" s="92" t="s">
        <v>84</v>
      </c>
      <c r="K11" s="189" t="s">
        <v>85</v>
      </c>
      <c r="L11" s="121" t="s">
        <v>86</v>
      </c>
      <c r="M11" s="73" t="s">
        <v>88</v>
      </c>
      <c r="N11" s="74"/>
      <c r="O11" s="92" t="s">
        <v>84</v>
      </c>
      <c r="P11" s="189" t="s">
        <v>85</v>
      </c>
      <c r="Q11" s="121" t="s">
        <v>89</v>
      </c>
      <c r="R11" s="73" t="s">
        <v>87</v>
      </c>
      <c r="S11" s="74"/>
      <c r="T11" s="72" t="s">
        <v>90</v>
      </c>
      <c r="U11" s="189" t="s">
        <v>91</v>
      </c>
      <c r="V11" s="189" t="s">
        <v>92</v>
      </c>
      <c r="W11" s="189" t="s">
        <v>93</v>
      </c>
      <c r="X11" s="189" t="s">
        <v>94</v>
      </c>
      <c r="Y11" s="73" t="s">
        <v>95</v>
      </c>
      <c r="Z11" s="74"/>
      <c r="AA11" s="92" t="s">
        <v>96</v>
      </c>
      <c r="AB11" s="121" t="s">
        <v>97</v>
      </c>
      <c r="AC11" s="73" t="s">
        <v>98</v>
      </c>
      <c r="AD11" s="75"/>
      <c r="AE11" s="321" t="s">
        <v>71</v>
      </c>
      <c r="AF11" s="183" t="s">
        <v>72</v>
      </c>
      <c r="AG11" s="75"/>
      <c r="AH11" s="72" t="s">
        <v>73</v>
      </c>
      <c r="AI11" s="73" t="s">
        <v>12</v>
      </c>
      <c r="AJ11" s="387" t="s">
        <v>74</v>
      </c>
    </row>
    <row r="12" spans="2:36" x14ac:dyDescent="0.35">
      <c r="B12" s="87">
        <v>1</v>
      </c>
      <c r="C12" s="334" t="s">
        <v>15</v>
      </c>
      <c r="D12" s="86"/>
      <c r="E12" s="181">
        <v>86</v>
      </c>
      <c r="F12" s="187">
        <v>85</v>
      </c>
      <c r="G12" s="187">
        <v>26</v>
      </c>
      <c r="H12" s="182">
        <v>17</v>
      </c>
      <c r="I12" s="86"/>
      <c r="J12" s="181">
        <v>43</v>
      </c>
      <c r="K12" s="187">
        <v>83</v>
      </c>
      <c r="L12" s="187">
        <v>16</v>
      </c>
      <c r="M12" s="182">
        <v>17</v>
      </c>
      <c r="N12" s="86"/>
      <c r="O12" s="181">
        <v>42</v>
      </c>
      <c r="P12" s="187">
        <v>79</v>
      </c>
      <c r="Q12" s="187">
        <v>52</v>
      </c>
      <c r="R12" s="182">
        <v>15</v>
      </c>
      <c r="S12" s="86"/>
      <c r="T12" s="181">
        <v>85</v>
      </c>
      <c r="U12" s="187">
        <v>93</v>
      </c>
      <c r="V12" s="187">
        <v>60</v>
      </c>
      <c r="W12" s="187">
        <v>49</v>
      </c>
      <c r="X12" s="187">
        <v>96</v>
      </c>
      <c r="Y12" s="182">
        <v>34</v>
      </c>
      <c r="Z12" s="86"/>
      <c r="AA12" s="181">
        <v>61</v>
      </c>
      <c r="AB12" s="187">
        <v>33</v>
      </c>
      <c r="AC12" s="182">
        <v>48</v>
      </c>
      <c r="AD12" s="86"/>
      <c r="AE12" s="442">
        <v>1</v>
      </c>
      <c r="AF12" s="443">
        <v>0.5</v>
      </c>
      <c r="AG12" s="86"/>
      <c r="AH12" s="160" t="s">
        <v>75</v>
      </c>
      <c r="AI12" s="93">
        <v>0.15</v>
      </c>
      <c r="AJ12" s="390" t="s">
        <v>101</v>
      </c>
    </row>
    <row r="13" spans="2:36" x14ac:dyDescent="0.35">
      <c r="B13" s="87">
        <v>2</v>
      </c>
      <c r="C13" s="334" t="s">
        <v>24</v>
      </c>
      <c r="D13" s="86"/>
      <c r="E13" s="181">
        <v>86</v>
      </c>
      <c r="F13" s="187">
        <v>44</v>
      </c>
      <c r="G13" s="187">
        <v>55</v>
      </c>
      <c r="H13" s="182">
        <v>36</v>
      </c>
      <c r="J13" s="181">
        <v>82</v>
      </c>
      <c r="K13" s="187">
        <v>47</v>
      </c>
      <c r="L13" s="187">
        <v>17</v>
      </c>
      <c r="M13" s="182">
        <v>86</v>
      </c>
      <c r="O13" s="181">
        <v>17</v>
      </c>
      <c r="P13" s="187">
        <v>45</v>
      </c>
      <c r="Q13" s="187">
        <v>94</v>
      </c>
      <c r="R13" s="182">
        <v>71</v>
      </c>
      <c r="T13" s="181">
        <v>43</v>
      </c>
      <c r="U13" s="187">
        <v>96</v>
      </c>
      <c r="V13" s="187">
        <v>36</v>
      </c>
      <c r="W13" s="187">
        <v>44</v>
      </c>
      <c r="X13" s="187">
        <v>90</v>
      </c>
      <c r="Y13" s="182">
        <v>83</v>
      </c>
      <c r="AA13" s="181">
        <v>69</v>
      </c>
      <c r="AB13" s="187">
        <v>52</v>
      </c>
      <c r="AC13" s="182">
        <v>55</v>
      </c>
      <c r="AE13" s="442">
        <v>1</v>
      </c>
      <c r="AF13" s="443">
        <v>0.5</v>
      </c>
      <c r="AH13" s="160"/>
      <c r="AI13" s="93">
        <v>0.1</v>
      </c>
      <c r="AJ13" s="390" t="s">
        <v>101</v>
      </c>
    </row>
    <row r="14" spans="2:36" x14ac:dyDescent="0.35">
      <c r="B14" s="87">
        <v>3</v>
      </c>
      <c r="C14" s="334" t="s">
        <v>25</v>
      </c>
      <c r="D14" s="86"/>
      <c r="E14" s="181">
        <v>37</v>
      </c>
      <c r="F14" s="187"/>
      <c r="G14" s="187">
        <v>17</v>
      </c>
      <c r="H14" s="182">
        <v>29</v>
      </c>
      <c r="J14" s="181">
        <v>50</v>
      </c>
      <c r="K14" s="187">
        <v>44</v>
      </c>
      <c r="L14" s="187">
        <v>23</v>
      </c>
      <c r="M14" s="182"/>
      <c r="O14" s="181">
        <v>20</v>
      </c>
      <c r="P14" s="187"/>
      <c r="Q14" s="187">
        <v>69</v>
      </c>
      <c r="R14" s="182">
        <v>96</v>
      </c>
      <c r="T14" s="181">
        <v>30</v>
      </c>
      <c r="U14" s="187">
        <v>60</v>
      </c>
      <c r="V14" s="187">
        <v>95</v>
      </c>
      <c r="W14" s="187"/>
      <c r="X14" s="187"/>
      <c r="Y14" s="182"/>
      <c r="AA14" s="181">
        <v>91</v>
      </c>
      <c r="AB14" s="187">
        <v>31</v>
      </c>
      <c r="AC14" s="182"/>
      <c r="AE14" s="442"/>
      <c r="AF14" s="443">
        <v>0.5</v>
      </c>
      <c r="AH14" s="160" t="s">
        <v>78</v>
      </c>
      <c r="AI14" s="93"/>
      <c r="AJ14" s="390" t="s">
        <v>101</v>
      </c>
    </row>
    <row r="15" spans="2:36" x14ac:dyDescent="0.35">
      <c r="B15" s="87">
        <v>4</v>
      </c>
      <c r="C15" s="334" t="s">
        <v>26</v>
      </c>
      <c r="D15" s="86"/>
      <c r="E15" s="181">
        <v>87</v>
      </c>
      <c r="F15" s="187">
        <v>48</v>
      </c>
      <c r="G15" s="187">
        <v>59</v>
      </c>
      <c r="H15" s="182">
        <v>56</v>
      </c>
      <c r="J15" s="181">
        <v>82</v>
      </c>
      <c r="K15" s="187">
        <v>43</v>
      </c>
      <c r="L15" s="187"/>
      <c r="M15" s="182">
        <v>68</v>
      </c>
      <c r="O15" s="181">
        <v>43</v>
      </c>
      <c r="P15" s="187">
        <v>30</v>
      </c>
      <c r="Q15" s="187">
        <v>69</v>
      </c>
      <c r="R15" s="182"/>
      <c r="T15" s="181">
        <v>46</v>
      </c>
      <c r="U15" s="187"/>
      <c r="V15" s="187"/>
      <c r="W15" s="187">
        <v>79</v>
      </c>
      <c r="X15" s="187">
        <v>98</v>
      </c>
      <c r="Y15" s="182">
        <v>62</v>
      </c>
      <c r="AA15" s="181"/>
      <c r="AB15" s="187">
        <v>37</v>
      </c>
      <c r="AC15" s="182">
        <v>92</v>
      </c>
      <c r="AE15" s="442">
        <v>1</v>
      </c>
      <c r="AF15" s="443">
        <v>0.5</v>
      </c>
      <c r="AH15" s="160" t="s">
        <v>75</v>
      </c>
      <c r="AI15" s="93">
        <v>0.05</v>
      </c>
      <c r="AJ15" s="390" t="s">
        <v>101</v>
      </c>
    </row>
    <row r="16" spans="2:36" x14ac:dyDescent="0.35">
      <c r="B16" s="87">
        <v>5</v>
      </c>
      <c r="C16" s="334" t="s">
        <v>27</v>
      </c>
      <c r="D16" s="86"/>
      <c r="E16" s="181">
        <v>80</v>
      </c>
      <c r="F16" s="187">
        <v>77</v>
      </c>
      <c r="G16" s="187">
        <v>56</v>
      </c>
      <c r="H16" s="182">
        <v>48</v>
      </c>
      <c r="J16" s="181"/>
      <c r="K16" s="187"/>
      <c r="L16" s="187">
        <v>15</v>
      </c>
      <c r="M16" s="182">
        <v>83</v>
      </c>
      <c r="O16" s="181">
        <v>31</v>
      </c>
      <c r="P16" s="187">
        <v>57</v>
      </c>
      <c r="Q16" s="187">
        <v>98</v>
      </c>
      <c r="R16" s="182">
        <v>81</v>
      </c>
      <c r="T16" s="181">
        <v>53</v>
      </c>
      <c r="U16" s="187">
        <v>85</v>
      </c>
      <c r="V16" s="187">
        <v>37</v>
      </c>
      <c r="W16" s="187"/>
      <c r="X16" s="187">
        <v>70</v>
      </c>
      <c r="Y16" s="182"/>
      <c r="AA16" s="181">
        <v>88</v>
      </c>
      <c r="AB16" s="187">
        <v>47</v>
      </c>
      <c r="AC16" s="182">
        <v>53</v>
      </c>
      <c r="AE16" s="442">
        <v>1</v>
      </c>
      <c r="AF16" s="443"/>
      <c r="AH16" s="160"/>
      <c r="AI16" s="93">
        <v>0.1</v>
      </c>
      <c r="AJ16" s="390" t="s">
        <v>101</v>
      </c>
    </row>
    <row r="17" spans="2:36" x14ac:dyDescent="0.35">
      <c r="B17" s="87">
        <v>6</v>
      </c>
      <c r="C17" s="334" t="s">
        <v>28</v>
      </c>
      <c r="D17" s="86"/>
      <c r="E17" s="181">
        <v>36</v>
      </c>
      <c r="F17" s="187">
        <v>92</v>
      </c>
      <c r="G17" s="187"/>
      <c r="H17" s="182">
        <v>26</v>
      </c>
      <c r="J17" s="181">
        <v>52</v>
      </c>
      <c r="K17" s="187">
        <v>45</v>
      </c>
      <c r="L17" s="187">
        <v>32</v>
      </c>
      <c r="M17" s="182">
        <v>71</v>
      </c>
      <c r="O17" s="181">
        <v>27</v>
      </c>
      <c r="P17" s="187">
        <v>18</v>
      </c>
      <c r="Q17" s="187"/>
      <c r="R17" s="182">
        <v>84</v>
      </c>
      <c r="T17" s="181"/>
      <c r="U17" s="187"/>
      <c r="V17" s="187">
        <v>85</v>
      </c>
      <c r="W17" s="187">
        <v>50</v>
      </c>
      <c r="X17" s="187">
        <v>92</v>
      </c>
      <c r="Y17" s="182">
        <v>53</v>
      </c>
      <c r="AA17" s="181">
        <v>76</v>
      </c>
      <c r="AB17" s="187"/>
      <c r="AC17" s="182"/>
      <c r="AE17" s="442"/>
      <c r="AF17" s="443">
        <v>0.5</v>
      </c>
      <c r="AH17" s="160" t="s">
        <v>77</v>
      </c>
      <c r="AI17" s="93"/>
      <c r="AJ17" s="390"/>
    </row>
    <row r="18" spans="2:36" x14ac:dyDescent="0.35">
      <c r="B18" s="87">
        <v>7</v>
      </c>
      <c r="C18" s="334" t="s">
        <v>29</v>
      </c>
      <c r="D18" s="86"/>
      <c r="E18" s="181"/>
      <c r="F18" s="187"/>
      <c r="G18" s="187">
        <v>26</v>
      </c>
      <c r="H18" s="182">
        <v>49</v>
      </c>
      <c r="J18" s="181">
        <v>88</v>
      </c>
      <c r="K18" s="187">
        <v>38</v>
      </c>
      <c r="L18" s="187">
        <v>57</v>
      </c>
      <c r="M18" s="182">
        <v>88</v>
      </c>
      <c r="O18" s="181">
        <v>35</v>
      </c>
      <c r="P18" s="187">
        <v>29</v>
      </c>
      <c r="Q18" s="187">
        <v>59</v>
      </c>
      <c r="R18" s="182">
        <v>61</v>
      </c>
      <c r="T18" s="181">
        <v>31</v>
      </c>
      <c r="U18" s="187">
        <v>32</v>
      </c>
      <c r="V18" s="187">
        <v>76</v>
      </c>
      <c r="W18" s="187">
        <v>59</v>
      </c>
      <c r="X18" s="187">
        <v>43</v>
      </c>
      <c r="Y18" s="182">
        <v>65</v>
      </c>
      <c r="AA18" s="181">
        <v>40</v>
      </c>
      <c r="AB18" s="187">
        <v>34</v>
      </c>
      <c r="AC18" s="182">
        <v>99</v>
      </c>
      <c r="AE18" s="442">
        <v>1</v>
      </c>
      <c r="AF18" s="443">
        <v>0.5</v>
      </c>
      <c r="AH18" s="160" t="s">
        <v>77</v>
      </c>
      <c r="AI18" s="93">
        <v>0.15</v>
      </c>
      <c r="AJ18" s="390" t="s">
        <v>101</v>
      </c>
    </row>
    <row r="19" spans="2:36" x14ac:dyDescent="0.35">
      <c r="B19" s="87">
        <v>8</v>
      </c>
      <c r="C19" s="334" t="s">
        <v>30</v>
      </c>
      <c r="D19" s="86"/>
      <c r="E19" s="181">
        <v>50</v>
      </c>
      <c r="F19" s="187">
        <v>86</v>
      </c>
      <c r="G19" s="187">
        <v>58</v>
      </c>
      <c r="H19" s="182">
        <v>20</v>
      </c>
      <c r="J19" s="181">
        <v>80</v>
      </c>
      <c r="K19" s="187">
        <v>43</v>
      </c>
      <c r="L19" s="187">
        <v>60</v>
      </c>
      <c r="M19" s="182">
        <v>98</v>
      </c>
      <c r="O19" s="181"/>
      <c r="P19" s="187">
        <v>35</v>
      </c>
      <c r="Q19" s="187">
        <v>87</v>
      </c>
      <c r="R19" s="182"/>
      <c r="T19" s="181"/>
      <c r="U19" s="187">
        <v>49</v>
      </c>
      <c r="V19" s="187">
        <v>57</v>
      </c>
      <c r="W19" s="187">
        <v>38</v>
      </c>
      <c r="X19" s="187">
        <v>44</v>
      </c>
      <c r="Y19" s="182"/>
      <c r="AA19" s="181"/>
      <c r="AB19" s="187">
        <v>42</v>
      </c>
      <c r="AC19" s="182">
        <v>30</v>
      </c>
      <c r="AE19" s="442">
        <v>1</v>
      </c>
      <c r="AF19" s="443"/>
      <c r="AH19" s="160" t="s">
        <v>78</v>
      </c>
      <c r="AI19" s="93">
        <v>0.2</v>
      </c>
      <c r="AJ19" s="390" t="s">
        <v>101</v>
      </c>
    </row>
    <row r="20" spans="2:36" x14ac:dyDescent="0.35">
      <c r="B20" s="87">
        <v>10</v>
      </c>
      <c r="C20" s="334" t="s">
        <v>31</v>
      </c>
      <c r="D20" s="340"/>
      <c r="E20" s="181">
        <v>55</v>
      </c>
      <c r="F20" s="187">
        <v>99</v>
      </c>
      <c r="G20" s="187">
        <v>17</v>
      </c>
      <c r="H20" s="182">
        <v>44</v>
      </c>
      <c r="J20" s="181"/>
      <c r="K20" s="187"/>
      <c r="L20" s="187"/>
      <c r="M20" s="182"/>
      <c r="O20" s="181">
        <v>52</v>
      </c>
      <c r="P20" s="187">
        <v>50</v>
      </c>
      <c r="Q20" s="187">
        <v>71</v>
      </c>
      <c r="R20" s="182">
        <v>50</v>
      </c>
      <c r="T20" s="181">
        <v>33</v>
      </c>
      <c r="U20" s="187"/>
      <c r="V20" s="187"/>
      <c r="W20" s="187"/>
      <c r="X20" s="187">
        <v>37</v>
      </c>
      <c r="Y20" s="182">
        <v>91</v>
      </c>
      <c r="AA20" s="181">
        <v>78</v>
      </c>
      <c r="AB20" s="187">
        <v>57</v>
      </c>
      <c r="AC20" s="182"/>
      <c r="AE20" s="442"/>
      <c r="AF20" s="443">
        <v>0.5</v>
      </c>
      <c r="AH20" s="160"/>
      <c r="AI20" s="93"/>
      <c r="AJ20" s="390" t="s">
        <v>101</v>
      </c>
    </row>
    <row r="21" spans="2:36" x14ac:dyDescent="0.35">
      <c r="B21" s="87">
        <v>11</v>
      </c>
      <c r="C21" s="334" t="s">
        <v>32</v>
      </c>
      <c r="D21" s="86"/>
      <c r="E21" s="181">
        <v>72</v>
      </c>
      <c r="F21" s="187">
        <v>32</v>
      </c>
      <c r="G21" s="187">
        <v>31</v>
      </c>
      <c r="H21" s="182"/>
      <c r="J21" s="181">
        <v>99</v>
      </c>
      <c r="K21" s="187">
        <v>40</v>
      </c>
      <c r="L21" s="187">
        <v>49</v>
      </c>
      <c r="M21" s="182">
        <v>90</v>
      </c>
      <c r="O21" s="181">
        <v>39</v>
      </c>
      <c r="P21" s="187">
        <v>19</v>
      </c>
      <c r="Q21" s="187"/>
      <c r="R21" s="182">
        <v>32</v>
      </c>
      <c r="T21" s="181">
        <v>55</v>
      </c>
      <c r="U21" s="187">
        <v>71</v>
      </c>
      <c r="V21" s="187">
        <v>91</v>
      </c>
      <c r="W21" s="187">
        <v>66</v>
      </c>
      <c r="X21" s="187">
        <v>85</v>
      </c>
      <c r="Y21" s="182">
        <v>77</v>
      </c>
      <c r="AA21" s="181">
        <v>68</v>
      </c>
      <c r="AB21" s="187">
        <v>37</v>
      </c>
      <c r="AC21" s="182">
        <v>87</v>
      </c>
      <c r="AE21" s="442">
        <v>1</v>
      </c>
      <c r="AF21" s="443">
        <v>0.5</v>
      </c>
      <c r="AH21" s="160" t="s">
        <v>77</v>
      </c>
      <c r="AI21" s="93">
        <v>0.15</v>
      </c>
      <c r="AJ21" s="390"/>
    </row>
    <row r="22" spans="2:36" x14ac:dyDescent="0.35">
      <c r="B22" s="87">
        <v>12</v>
      </c>
      <c r="C22" s="334" t="s">
        <v>33</v>
      </c>
      <c r="D22" s="86"/>
      <c r="E22" s="181">
        <v>48</v>
      </c>
      <c r="F22" s="187">
        <v>81</v>
      </c>
      <c r="G22" s="187">
        <v>40</v>
      </c>
      <c r="H22" s="182">
        <v>38</v>
      </c>
      <c r="J22" s="181">
        <v>74</v>
      </c>
      <c r="K22" s="187">
        <v>23</v>
      </c>
      <c r="L22" s="187">
        <v>20</v>
      </c>
      <c r="M22" s="182">
        <v>50</v>
      </c>
      <c r="O22" s="181">
        <v>22</v>
      </c>
      <c r="P22" s="187">
        <v>20</v>
      </c>
      <c r="Q22" s="187">
        <v>64</v>
      </c>
      <c r="R22" s="182">
        <v>35</v>
      </c>
      <c r="T22" s="181">
        <v>18</v>
      </c>
      <c r="U22" s="187">
        <v>100</v>
      </c>
      <c r="V22" s="187">
        <v>56</v>
      </c>
      <c r="W22" s="187">
        <v>92</v>
      </c>
      <c r="X22" s="187">
        <v>95</v>
      </c>
      <c r="Y22" s="182">
        <v>44</v>
      </c>
      <c r="AA22" s="181">
        <v>55</v>
      </c>
      <c r="AB22" s="187">
        <v>52</v>
      </c>
      <c r="AC22" s="182">
        <v>71</v>
      </c>
      <c r="AE22" s="442">
        <v>1</v>
      </c>
      <c r="AF22" s="443"/>
      <c r="AH22" s="444" t="s">
        <v>75</v>
      </c>
      <c r="AI22" s="93">
        <v>0.1</v>
      </c>
      <c r="AJ22" s="390" t="s">
        <v>101</v>
      </c>
    </row>
    <row r="23" spans="2:36" x14ac:dyDescent="0.35">
      <c r="C23" s="328"/>
      <c r="D23" s="86"/>
    </row>
    <row r="24" spans="2:36" x14ac:dyDescent="0.35">
      <c r="D24" s="86"/>
    </row>
    <row r="25" spans="2:36" x14ac:dyDescent="0.35">
      <c r="D25" s="86"/>
    </row>
    <row r="26" spans="2:36" x14ac:dyDescent="0.35">
      <c r="D26" s="86"/>
    </row>
    <row r="27" spans="2:36" x14ac:dyDescent="0.35">
      <c r="D27" s="86"/>
    </row>
    <row r="28" spans="2:36" x14ac:dyDescent="0.35">
      <c r="D28" s="86"/>
    </row>
  </sheetData>
  <mergeCells count="9">
    <mergeCell ref="E7:AJ7"/>
    <mergeCell ref="E9:R9"/>
    <mergeCell ref="T9:AC9"/>
    <mergeCell ref="AA10:AC10"/>
    <mergeCell ref="AH10:AI10"/>
    <mergeCell ref="E10:H10"/>
    <mergeCell ref="J10:M10"/>
    <mergeCell ref="O10:R10"/>
    <mergeCell ref="T10:Y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6D851-1612-47A5-A970-94FBA3A45659}">
  <dimension ref="B1:AJ28"/>
  <sheetViews>
    <sheetView showGridLines="0" zoomScale="60" zoomScaleNormal="60" workbookViewId="0">
      <pane xSplit="3" topLeftCell="D1" activePane="topRight" state="frozen"/>
      <selection activeCell="L27" sqref="L27"/>
      <selection pane="topRight"/>
    </sheetView>
  </sheetViews>
  <sheetFormatPr defaultColWidth="12.453125" defaultRowHeight="14.5" x14ac:dyDescent="0.35"/>
  <cols>
    <col min="1" max="1" width="4.453125" style="79" customWidth="1"/>
    <col min="2" max="2" width="4" style="79" bestFit="1" customWidth="1"/>
    <col min="3" max="3" width="38" style="79" customWidth="1"/>
    <col min="4" max="4" width="4.7265625" style="335" customWidth="1"/>
    <col min="5" max="6" width="10.1796875" style="79" bestFit="1" customWidth="1"/>
    <col min="7" max="7" width="9.54296875" style="79" bestFit="1" customWidth="1"/>
    <col min="8" max="8" width="8.81640625" style="79" bestFit="1" customWidth="1"/>
    <col min="9" max="9" width="2.1796875" style="79" customWidth="1"/>
    <col min="10" max="11" width="10.1796875" style="79" bestFit="1" customWidth="1"/>
    <col min="12" max="12" width="9.54296875" style="79" bestFit="1" customWidth="1"/>
    <col min="13" max="13" width="8.81640625" style="79" bestFit="1" customWidth="1"/>
    <col min="14" max="14" width="2.1796875" style="79" customWidth="1"/>
    <col min="15" max="16" width="10.1796875" style="79" bestFit="1" customWidth="1"/>
    <col min="17" max="17" width="9.54296875" style="79" bestFit="1" customWidth="1"/>
    <col min="18" max="18" width="8.81640625" style="79" bestFit="1" customWidth="1"/>
    <col min="19" max="19" width="2.1796875" style="79" customWidth="1"/>
    <col min="20" max="21" width="10.1796875" style="79" bestFit="1" customWidth="1"/>
    <col min="22" max="22" width="9.54296875" style="79" bestFit="1" customWidth="1"/>
    <col min="23" max="23" width="8.81640625" style="79" bestFit="1" customWidth="1"/>
    <col min="24" max="25" width="11.453125" style="79" bestFit="1" customWidth="1"/>
    <col min="26" max="26" width="2.1796875" style="79" customWidth="1"/>
    <col min="27" max="27" width="10.1796875" style="79" bestFit="1" customWidth="1"/>
    <col min="28" max="28" width="8.81640625" style="79" bestFit="1" customWidth="1"/>
    <col min="29" max="29" width="11.453125" style="79" bestFit="1" customWidth="1"/>
    <col min="30" max="30" width="2.1796875" style="79" customWidth="1"/>
    <col min="31" max="32" width="13.1796875" style="79" bestFit="1" customWidth="1"/>
    <col min="33" max="33" width="2.1796875" style="79" customWidth="1"/>
    <col min="34" max="34" width="43.54296875" style="79" bestFit="1" customWidth="1"/>
    <col min="35" max="35" width="10.1796875" style="79" bestFit="1" customWidth="1"/>
    <col min="36" max="36" width="44.1796875" style="79" bestFit="1" customWidth="1"/>
    <col min="37" max="16384" width="12.453125" style="79"/>
  </cols>
  <sheetData>
    <row r="1" spans="2:36" ht="15" thickBot="1" x14ac:dyDescent="0.4"/>
    <row r="2" spans="2:36" ht="23.5" x14ac:dyDescent="0.35">
      <c r="B2" s="80"/>
      <c r="C2" s="327" t="s">
        <v>59</v>
      </c>
      <c r="D2" s="336"/>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81"/>
      <c r="AE2" s="81"/>
      <c r="AF2" s="81"/>
      <c r="AG2" s="184"/>
      <c r="AH2" s="184"/>
      <c r="AI2" s="184"/>
      <c r="AJ2" s="185"/>
    </row>
    <row r="3" spans="2:36" x14ac:dyDescent="0.35">
      <c r="B3" s="82"/>
      <c r="C3" s="83" t="s">
        <v>60</v>
      </c>
      <c r="D3" s="337"/>
      <c r="AD3" s="84"/>
      <c r="AE3" s="84"/>
      <c r="AF3" s="84"/>
      <c r="AJ3" s="186"/>
    </row>
    <row r="4" spans="2:36" x14ac:dyDescent="0.35">
      <c r="B4" s="82"/>
      <c r="C4" s="83" t="s">
        <v>61</v>
      </c>
      <c r="D4" s="337"/>
      <c r="AD4" s="84"/>
      <c r="AE4" s="84"/>
      <c r="AF4" s="84"/>
      <c r="AJ4" s="186"/>
    </row>
    <row r="5" spans="2:36" x14ac:dyDescent="0.35">
      <c r="B5" s="82"/>
      <c r="C5" s="83"/>
      <c r="D5" s="337"/>
      <c r="AD5" s="84"/>
      <c r="AE5" s="84"/>
      <c r="AF5" s="84"/>
      <c r="AJ5" s="186"/>
    </row>
    <row r="6" spans="2:36" x14ac:dyDescent="0.35">
      <c r="B6" s="82"/>
      <c r="C6" s="83"/>
      <c r="D6" s="337"/>
      <c r="AD6" s="84"/>
      <c r="AE6" s="84"/>
      <c r="AF6" s="84"/>
      <c r="AJ6" s="186"/>
    </row>
    <row r="7" spans="2:36" ht="21" x14ac:dyDescent="0.35">
      <c r="B7" s="82"/>
      <c r="C7" s="342"/>
      <c r="D7" s="337"/>
      <c r="E7" s="449" t="s">
        <v>102</v>
      </c>
      <c r="F7" s="450"/>
      <c r="G7" s="450"/>
      <c r="H7" s="450"/>
      <c r="I7" s="450"/>
      <c r="J7" s="450"/>
      <c r="K7" s="450"/>
      <c r="L7" s="450"/>
      <c r="M7" s="450"/>
      <c r="N7" s="450"/>
      <c r="O7" s="450"/>
      <c r="P7" s="450"/>
      <c r="Q7" s="450"/>
      <c r="R7" s="450"/>
      <c r="S7" s="450"/>
      <c r="T7" s="450"/>
      <c r="U7" s="450"/>
      <c r="V7" s="450"/>
      <c r="W7" s="450"/>
      <c r="X7" s="450"/>
      <c r="Y7" s="450"/>
      <c r="Z7" s="450"/>
      <c r="AA7" s="450"/>
      <c r="AB7" s="450"/>
      <c r="AC7" s="450"/>
      <c r="AD7" s="450"/>
      <c r="AE7" s="450"/>
      <c r="AF7" s="450"/>
      <c r="AG7" s="450"/>
      <c r="AH7" s="450"/>
      <c r="AI7" s="450"/>
      <c r="AJ7" s="451"/>
    </row>
    <row r="8" spans="2:36" ht="15" thickBot="1" x14ac:dyDescent="0.4">
      <c r="B8" s="82"/>
      <c r="C8" s="341"/>
      <c r="AJ8" s="186"/>
    </row>
    <row r="9" spans="2:36" s="85" customFormat="1" ht="19" thickBot="1" x14ac:dyDescent="0.4">
      <c r="B9" s="91"/>
      <c r="C9" s="90"/>
      <c r="D9" s="338"/>
      <c r="E9" s="452" t="s">
        <v>16</v>
      </c>
      <c r="F9" s="453"/>
      <c r="G9" s="453"/>
      <c r="H9" s="453"/>
      <c r="I9" s="453"/>
      <c r="J9" s="453"/>
      <c r="K9" s="453"/>
      <c r="L9" s="453"/>
      <c r="M9" s="453"/>
      <c r="N9" s="453"/>
      <c r="O9" s="453"/>
      <c r="P9" s="453"/>
      <c r="Q9" s="453"/>
      <c r="R9" s="453"/>
      <c r="S9" s="180"/>
      <c r="T9" s="461" t="s">
        <v>20</v>
      </c>
      <c r="U9" s="462"/>
      <c r="V9" s="462"/>
      <c r="W9" s="462"/>
      <c r="X9" s="462"/>
      <c r="Y9" s="462"/>
      <c r="Z9" s="462"/>
      <c r="AA9" s="462"/>
      <c r="AB9" s="462"/>
      <c r="AC9" s="463"/>
      <c r="AD9" s="180"/>
      <c r="AE9" s="180"/>
      <c r="AF9" s="180"/>
      <c r="AG9" s="180"/>
      <c r="AH9" s="159"/>
      <c r="AI9" s="90"/>
      <c r="AJ9" s="397"/>
    </row>
    <row r="10" spans="2:36" s="76" customFormat="1" ht="29.5" thickBot="1" x14ac:dyDescent="0.4">
      <c r="B10" s="88"/>
      <c r="C10" s="395"/>
      <c r="D10" s="339"/>
      <c r="E10" s="467" t="s">
        <v>103</v>
      </c>
      <c r="F10" s="468"/>
      <c r="G10" s="468"/>
      <c r="H10" s="469"/>
      <c r="I10" s="74"/>
      <c r="J10" s="467" t="s">
        <v>82</v>
      </c>
      <c r="K10" s="468"/>
      <c r="L10" s="468"/>
      <c r="M10" s="469"/>
      <c r="N10" s="74"/>
      <c r="O10" s="467" t="s">
        <v>19</v>
      </c>
      <c r="P10" s="468"/>
      <c r="Q10" s="468"/>
      <c r="R10" s="469"/>
      <c r="S10" s="74"/>
      <c r="T10" s="470" t="s">
        <v>83</v>
      </c>
      <c r="U10" s="471"/>
      <c r="V10" s="471"/>
      <c r="W10" s="471"/>
      <c r="X10" s="471"/>
      <c r="Y10" s="472"/>
      <c r="Z10" s="74"/>
      <c r="AA10" s="464" t="s">
        <v>23</v>
      </c>
      <c r="AB10" s="465"/>
      <c r="AC10" s="466"/>
      <c r="AD10" s="75"/>
      <c r="AE10" s="322" t="s">
        <v>63</v>
      </c>
      <c r="AF10" s="323" t="s">
        <v>64</v>
      </c>
      <c r="AG10" s="75"/>
      <c r="AH10" s="477" t="s">
        <v>65</v>
      </c>
      <c r="AI10" s="478"/>
      <c r="AJ10" s="386" t="s">
        <v>13</v>
      </c>
    </row>
    <row r="11" spans="2:36" s="78" customFormat="1" ht="58.5" thickBot="1" x14ac:dyDescent="0.4">
      <c r="B11" s="77" t="s">
        <v>66</v>
      </c>
      <c r="C11" s="71" t="s">
        <v>3</v>
      </c>
      <c r="D11" s="339"/>
      <c r="E11" s="92" t="s">
        <v>84</v>
      </c>
      <c r="F11" s="189" t="s">
        <v>85</v>
      </c>
      <c r="G11" s="121" t="s">
        <v>86</v>
      </c>
      <c r="H11" s="73" t="s">
        <v>88</v>
      </c>
      <c r="I11" s="74"/>
      <c r="J11" s="92" t="s">
        <v>84</v>
      </c>
      <c r="K11" s="189" t="s">
        <v>85</v>
      </c>
      <c r="L11" s="121" t="s">
        <v>86</v>
      </c>
      <c r="M11" s="73" t="s">
        <v>88</v>
      </c>
      <c r="N11" s="74"/>
      <c r="O11" s="92" t="s">
        <v>84</v>
      </c>
      <c r="P11" s="189" t="s">
        <v>85</v>
      </c>
      <c r="Q11" s="121" t="s">
        <v>89</v>
      </c>
      <c r="R11" s="73" t="s">
        <v>87</v>
      </c>
      <c r="S11" s="74"/>
      <c r="T11" s="72" t="s">
        <v>90</v>
      </c>
      <c r="U11" s="189" t="s">
        <v>91</v>
      </c>
      <c r="V11" s="189" t="s">
        <v>92</v>
      </c>
      <c r="W11" s="189" t="s">
        <v>93</v>
      </c>
      <c r="X11" s="189" t="s">
        <v>94</v>
      </c>
      <c r="Y11" s="73" t="s">
        <v>95</v>
      </c>
      <c r="Z11" s="74"/>
      <c r="AA11" s="92" t="s">
        <v>96</v>
      </c>
      <c r="AB11" s="121" t="s">
        <v>97</v>
      </c>
      <c r="AC11" s="73" t="s">
        <v>98</v>
      </c>
      <c r="AD11" s="75"/>
      <c r="AE11" s="321" t="s">
        <v>71</v>
      </c>
      <c r="AF11" s="183" t="s">
        <v>72</v>
      </c>
      <c r="AG11" s="75"/>
      <c r="AH11" s="72" t="s">
        <v>73</v>
      </c>
      <c r="AI11" s="73" t="s">
        <v>12</v>
      </c>
      <c r="AJ11" s="387" t="s">
        <v>74</v>
      </c>
    </row>
    <row r="12" spans="2:36" x14ac:dyDescent="0.35">
      <c r="B12" s="87">
        <v>1</v>
      </c>
      <c r="C12" s="334" t="s">
        <v>15</v>
      </c>
      <c r="D12" s="86"/>
      <c r="E12" s="181">
        <v>41</v>
      </c>
      <c r="F12" s="187">
        <v>57</v>
      </c>
      <c r="G12" s="187">
        <v>29</v>
      </c>
      <c r="H12" s="182">
        <v>40</v>
      </c>
      <c r="I12" s="86"/>
      <c r="J12" s="181">
        <v>59</v>
      </c>
      <c r="K12" s="187">
        <v>60</v>
      </c>
      <c r="L12" s="187">
        <v>44</v>
      </c>
      <c r="M12" s="182">
        <v>30</v>
      </c>
      <c r="N12" s="86"/>
      <c r="O12" s="181">
        <v>42</v>
      </c>
      <c r="P12" s="187">
        <v>45</v>
      </c>
      <c r="Q12" s="187">
        <v>34</v>
      </c>
      <c r="R12" s="182">
        <v>46</v>
      </c>
      <c r="S12" s="86"/>
      <c r="T12" s="181">
        <v>41</v>
      </c>
      <c r="U12" s="187">
        <v>60</v>
      </c>
      <c r="V12" s="187">
        <v>24</v>
      </c>
      <c r="W12" s="187">
        <v>30</v>
      </c>
      <c r="X12" s="187">
        <v>57</v>
      </c>
      <c r="Y12" s="182">
        <v>45</v>
      </c>
      <c r="Z12" s="86"/>
      <c r="AA12" s="181">
        <v>67</v>
      </c>
      <c r="AB12" s="187">
        <v>43</v>
      </c>
      <c r="AC12" s="182">
        <v>39</v>
      </c>
      <c r="AD12" s="86"/>
      <c r="AE12" s="442">
        <v>1</v>
      </c>
      <c r="AF12" s="443">
        <v>0.5</v>
      </c>
      <c r="AG12" s="86"/>
      <c r="AH12" s="388" t="s">
        <v>75</v>
      </c>
      <c r="AI12" s="389">
        <v>0.15</v>
      </c>
      <c r="AJ12" s="390" t="s">
        <v>104</v>
      </c>
    </row>
    <row r="13" spans="2:36" x14ac:dyDescent="0.35">
      <c r="B13" s="87">
        <v>2</v>
      </c>
      <c r="C13" s="334" t="s">
        <v>24</v>
      </c>
      <c r="D13" s="86"/>
      <c r="E13" s="181">
        <v>41</v>
      </c>
      <c r="F13" s="187">
        <v>54</v>
      </c>
      <c r="G13" s="187"/>
      <c r="H13" s="182"/>
      <c r="J13" s="181"/>
      <c r="K13" s="187">
        <v>47</v>
      </c>
      <c r="L13" s="187"/>
      <c r="M13" s="182">
        <v>53</v>
      </c>
      <c r="O13" s="181">
        <v>56</v>
      </c>
      <c r="P13" s="187">
        <v>50</v>
      </c>
      <c r="Q13" s="187"/>
      <c r="R13" s="182">
        <v>29</v>
      </c>
      <c r="T13" s="181">
        <v>48</v>
      </c>
      <c r="U13" s="187">
        <v>41</v>
      </c>
      <c r="V13" s="187">
        <v>40</v>
      </c>
      <c r="W13" s="187">
        <v>34</v>
      </c>
      <c r="X13" s="187">
        <v>78</v>
      </c>
      <c r="Y13" s="182">
        <v>79</v>
      </c>
      <c r="AA13" s="181"/>
      <c r="AB13" s="187">
        <v>41</v>
      </c>
      <c r="AC13" s="182">
        <v>73</v>
      </c>
      <c r="AE13" s="442">
        <v>1</v>
      </c>
      <c r="AF13" s="443">
        <v>0.5</v>
      </c>
      <c r="AH13" s="160" t="s">
        <v>77</v>
      </c>
      <c r="AI13" s="93">
        <v>0.1</v>
      </c>
      <c r="AJ13" s="390" t="s">
        <v>104</v>
      </c>
    </row>
    <row r="14" spans="2:36" x14ac:dyDescent="0.35">
      <c r="B14" s="87">
        <v>3</v>
      </c>
      <c r="C14" s="334" t="s">
        <v>25</v>
      </c>
      <c r="D14" s="86"/>
      <c r="E14" s="181">
        <v>47</v>
      </c>
      <c r="F14" s="187">
        <v>54</v>
      </c>
      <c r="G14" s="187">
        <v>56</v>
      </c>
      <c r="H14" s="182">
        <v>20</v>
      </c>
      <c r="J14" s="181">
        <v>43</v>
      </c>
      <c r="K14" s="187">
        <v>35</v>
      </c>
      <c r="L14" s="187">
        <v>32</v>
      </c>
      <c r="M14" s="182">
        <v>22</v>
      </c>
      <c r="O14" s="181"/>
      <c r="P14" s="187">
        <v>71</v>
      </c>
      <c r="Q14" s="187">
        <v>49</v>
      </c>
      <c r="R14" s="182">
        <v>20</v>
      </c>
      <c r="T14" s="181"/>
      <c r="U14" s="187">
        <v>45</v>
      </c>
      <c r="V14" s="187"/>
      <c r="W14" s="187">
        <v>60</v>
      </c>
      <c r="X14" s="187"/>
      <c r="Y14" s="182"/>
      <c r="AA14" s="181">
        <v>30</v>
      </c>
      <c r="AB14" s="187"/>
      <c r="AC14" s="182">
        <v>73</v>
      </c>
      <c r="AE14" s="442">
        <v>1</v>
      </c>
      <c r="AF14" s="443">
        <v>0.5</v>
      </c>
      <c r="AH14" s="160"/>
      <c r="AI14" s="93">
        <v>0.2</v>
      </c>
      <c r="AJ14" s="390" t="s">
        <v>104</v>
      </c>
    </row>
    <row r="15" spans="2:36" x14ac:dyDescent="0.35">
      <c r="B15" s="87">
        <v>4</v>
      </c>
      <c r="C15" s="334" t="s">
        <v>26</v>
      </c>
      <c r="D15" s="86"/>
      <c r="E15" s="181">
        <v>53</v>
      </c>
      <c r="F15" s="187">
        <v>37</v>
      </c>
      <c r="G15" s="187">
        <v>59</v>
      </c>
      <c r="H15" s="182">
        <v>27</v>
      </c>
      <c r="J15" s="181">
        <v>37</v>
      </c>
      <c r="K15" s="187"/>
      <c r="L15" s="187">
        <v>34</v>
      </c>
      <c r="M15" s="182">
        <v>46</v>
      </c>
      <c r="O15" s="181">
        <v>71</v>
      </c>
      <c r="P15" s="187">
        <v>69</v>
      </c>
      <c r="Q15" s="187">
        <v>53</v>
      </c>
      <c r="R15" s="182">
        <v>33</v>
      </c>
      <c r="T15" s="181">
        <v>55</v>
      </c>
      <c r="U15" s="187"/>
      <c r="V15" s="187">
        <v>23</v>
      </c>
      <c r="W15" s="187">
        <v>39</v>
      </c>
      <c r="X15" s="187">
        <v>66</v>
      </c>
      <c r="Y15" s="182">
        <v>36</v>
      </c>
      <c r="AA15" s="181">
        <v>31</v>
      </c>
      <c r="AB15" s="187">
        <v>32</v>
      </c>
      <c r="AC15" s="182">
        <v>55</v>
      </c>
      <c r="AE15" s="442"/>
      <c r="AF15" s="443"/>
      <c r="AH15" s="160" t="s">
        <v>75</v>
      </c>
      <c r="AI15" s="93">
        <v>0.05</v>
      </c>
      <c r="AJ15" s="390"/>
    </row>
    <row r="16" spans="2:36" x14ac:dyDescent="0.35">
      <c r="B16" s="87">
        <v>5</v>
      </c>
      <c r="C16" s="334" t="s">
        <v>27</v>
      </c>
      <c r="D16" s="86"/>
      <c r="E16" s="181">
        <v>79</v>
      </c>
      <c r="F16" s="187"/>
      <c r="G16" s="187">
        <v>51</v>
      </c>
      <c r="H16" s="182">
        <v>32</v>
      </c>
      <c r="J16" s="181">
        <v>46</v>
      </c>
      <c r="K16" s="187">
        <v>36</v>
      </c>
      <c r="L16" s="187">
        <v>24</v>
      </c>
      <c r="M16" s="182"/>
      <c r="O16" s="181">
        <v>45</v>
      </c>
      <c r="P16" s="187"/>
      <c r="Q16" s="187">
        <v>59</v>
      </c>
      <c r="R16" s="182"/>
      <c r="T16" s="181"/>
      <c r="U16" s="187">
        <v>62</v>
      </c>
      <c r="V16" s="187">
        <v>41</v>
      </c>
      <c r="W16" s="187"/>
      <c r="X16" s="187">
        <v>44</v>
      </c>
      <c r="Y16" s="182"/>
      <c r="AA16" s="181">
        <v>63</v>
      </c>
      <c r="AB16" s="187">
        <v>24</v>
      </c>
      <c r="AC16" s="182"/>
      <c r="AE16" s="442">
        <v>1</v>
      </c>
      <c r="AF16" s="443">
        <v>0.5</v>
      </c>
      <c r="AH16" s="160" t="s">
        <v>78</v>
      </c>
      <c r="AI16" s="93"/>
      <c r="AJ16" s="390" t="s">
        <v>104</v>
      </c>
    </row>
    <row r="17" spans="2:36" x14ac:dyDescent="0.35">
      <c r="B17" s="87">
        <v>6</v>
      </c>
      <c r="C17" s="334" t="s">
        <v>28</v>
      </c>
      <c r="D17" s="86"/>
      <c r="E17" s="181"/>
      <c r="F17" s="187">
        <v>52</v>
      </c>
      <c r="G17" s="187">
        <v>42</v>
      </c>
      <c r="H17" s="182"/>
      <c r="J17" s="181"/>
      <c r="K17" s="187">
        <v>73</v>
      </c>
      <c r="L17" s="187"/>
      <c r="M17" s="182">
        <v>54</v>
      </c>
      <c r="O17" s="181">
        <v>53</v>
      </c>
      <c r="P17" s="187">
        <v>74</v>
      </c>
      <c r="Q17" s="187">
        <v>23</v>
      </c>
      <c r="R17" s="182">
        <v>32</v>
      </c>
      <c r="T17" s="181">
        <v>39</v>
      </c>
      <c r="U17" s="187">
        <v>77</v>
      </c>
      <c r="V17" s="187">
        <v>31</v>
      </c>
      <c r="W17" s="187">
        <v>50</v>
      </c>
      <c r="X17" s="187">
        <v>53</v>
      </c>
      <c r="Y17" s="182">
        <v>50</v>
      </c>
      <c r="AA17" s="181">
        <v>73</v>
      </c>
      <c r="AB17" s="187">
        <v>55</v>
      </c>
      <c r="AC17" s="182">
        <v>58</v>
      </c>
      <c r="AE17" s="442">
        <v>1</v>
      </c>
      <c r="AF17" s="443">
        <v>0.5</v>
      </c>
      <c r="AH17" s="160"/>
      <c r="AI17" s="93">
        <v>0.1</v>
      </c>
      <c r="AJ17" s="390" t="s">
        <v>104</v>
      </c>
    </row>
    <row r="18" spans="2:36" x14ac:dyDescent="0.35">
      <c r="B18" s="87">
        <v>7</v>
      </c>
      <c r="C18" s="334" t="s">
        <v>29</v>
      </c>
      <c r="D18" s="86"/>
      <c r="E18" s="181">
        <v>77</v>
      </c>
      <c r="F18" s="187">
        <v>49</v>
      </c>
      <c r="G18" s="187">
        <v>25</v>
      </c>
      <c r="H18" s="182">
        <v>41</v>
      </c>
      <c r="J18" s="181">
        <v>55</v>
      </c>
      <c r="K18" s="187">
        <v>46</v>
      </c>
      <c r="L18" s="187">
        <v>36</v>
      </c>
      <c r="M18" s="182">
        <v>46</v>
      </c>
      <c r="O18" s="181"/>
      <c r="P18" s="187">
        <v>59</v>
      </c>
      <c r="Q18" s="187">
        <v>29</v>
      </c>
      <c r="R18" s="182">
        <v>43</v>
      </c>
      <c r="T18" s="181">
        <v>40</v>
      </c>
      <c r="U18" s="187">
        <v>62</v>
      </c>
      <c r="V18" s="187">
        <v>25</v>
      </c>
      <c r="W18" s="187">
        <v>56</v>
      </c>
      <c r="X18" s="187"/>
      <c r="Y18" s="182">
        <v>32</v>
      </c>
      <c r="AA18" s="181">
        <v>61</v>
      </c>
      <c r="AB18" s="187"/>
      <c r="AC18" s="182">
        <v>62</v>
      </c>
      <c r="AE18" s="442"/>
      <c r="AF18" s="443"/>
      <c r="AH18" s="160" t="s">
        <v>77</v>
      </c>
      <c r="AI18" s="93">
        <v>0.15</v>
      </c>
      <c r="AJ18" s="390" t="s">
        <v>104</v>
      </c>
    </row>
    <row r="19" spans="2:36" x14ac:dyDescent="0.35">
      <c r="B19" s="87">
        <v>8</v>
      </c>
      <c r="C19" s="334" t="s">
        <v>30</v>
      </c>
      <c r="D19" s="86"/>
      <c r="E19" s="181">
        <v>73</v>
      </c>
      <c r="F19" s="187"/>
      <c r="G19" s="187"/>
      <c r="H19" s="182">
        <v>39</v>
      </c>
      <c r="J19" s="181">
        <v>58</v>
      </c>
      <c r="K19" s="187"/>
      <c r="L19" s="187">
        <v>50</v>
      </c>
      <c r="M19" s="182"/>
      <c r="O19" s="181">
        <v>77</v>
      </c>
      <c r="P19" s="187">
        <v>57</v>
      </c>
      <c r="Q19" s="187"/>
      <c r="R19" s="182">
        <v>28</v>
      </c>
      <c r="T19" s="181">
        <v>51</v>
      </c>
      <c r="U19" s="187"/>
      <c r="V19" s="187"/>
      <c r="W19" s="187">
        <v>37</v>
      </c>
      <c r="X19" s="187">
        <v>33</v>
      </c>
      <c r="Y19" s="182">
        <v>37</v>
      </c>
      <c r="AA19" s="181">
        <v>60</v>
      </c>
      <c r="AB19" s="187">
        <v>27</v>
      </c>
      <c r="AC19" s="182">
        <v>55</v>
      </c>
      <c r="AE19" s="442">
        <v>1</v>
      </c>
      <c r="AF19" s="443">
        <v>0.5</v>
      </c>
      <c r="AH19" s="160" t="s">
        <v>78</v>
      </c>
      <c r="AI19" s="93">
        <v>0.2</v>
      </c>
      <c r="AJ19" s="390" t="s">
        <v>104</v>
      </c>
    </row>
    <row r="20" spans="2:36" x14ac:dyDescent="0.35">
      <c r="B20" s="87">
        <v>10</v>
      </c>
      <c r="C20" s="334" t="s">
        <v>31</v>
      </c>
      <c r="D20" s="340"/>
      <c r="E20" s="181">
        <v>62</v>
      </c>
      <c r="F20" s="187">
        <v>42</v>
      </c>
      <c r="G20" s="187">
        <v>21</v>
      </c>
      <c r="H20" s="182"/>
      <c r="J20" s="181">
        <v>46</v>
      </c>
      <c r="K20" s="187">
        <v>53</v>
      </c>
      <c r="L20" s="187">
        <v>23</v>
      </c>
      <c r="M20" s="182">
        <v>29</v>
      </c>
      <c r="O20" s="181">
        <v>37</v>
      </c>
      <c r="P20" s="187"/>
      <c r="Q20" s="187">
        <v>27</v>
      </c>
      <c r="R20" s="182">
        <v>27</v>
      </c>
      <c r="T20" s="181">
        <v>50</v>
      </c>
      <c r="U20" s="187">
        <v>45</v>
      </c>
      <c r="V20" s="187">
        <v>54</v>
      </c>
      <c r="W20" s="187">
        <v>43</v>
      </c>
      <c r="X20" s="187">
        <v>78</v>
      </c>
      <c r="Y20" s="182"/>
      <c r="AA20" s="181"/>
      <c r="AB20" s="187">
        <v>34</v>
      </c>
      <c r="AC20" s="182">
        <v>40</v>
      </c>
      <c r="AE20" s="442">
        <v>1</v>
      </c>
      <c r="AF20" s="443"/>
      <c r="AH20" s="160"/>
      <c r="AI20" s="93"/>
      <c r="AJ20" s="390"/>
    </row>
    <row r="21" spans="2:36" x14ac:dyDescent="0.35">
      <c r="B21" s="87">
        <v>11</v>
      </c>
      <c r="C21" s="334" t="s">
        <v>32</v>
      </c>
      <c r="D21" s="86"/>
      <c r="E21" s="181">
        <v>50</v>
      </c>
      <c r="F21" s="187">
        <v>46</v>
      </c>
      <c r="G21" s="187">
        <v>27</v>
      </c>
      <c r="H21" s="182">
        <v>21</v>
      </c>
      <c r="J21" s="181"/>
      <c r="K21" s="187">
        <v>54</v>
      </c>
      <c r="L21" s="187"/>
      <c r="M21" s="182"/>
      <c r="O21" s="181"/>
      <c r="P21" s="187">
        <v>58</v>
      </c>
      <c r="Q21" s="187">
        <v>46</v>
      </c>
      <c r="R21" s="182"/>
      <c r="T21" s="181"/>
      <c r="U21" s="187">
        <v>75</v>
      </c>
      <c r="V21" s="187">
        <v>43</v>
      </c>
      <c r="W21" s="187">
        <v>29</v>
      </c>
      <c r="X21" s="187"/>
      <c r="Y21" s="182">
        <v>51</v>
      </c>
      <c r="AA21" s="181">
        <v>68</v>
      </c>
      <c r="AB21" s="187">
        <v>59</v>
      </c>
      <c r="AC21" s="182"/>
      <c r="AE21" s="442"/>
      <c r="AF21" s="443">
        <v>0.5</v>
      </c>
      <c r="AH21" s="160" t="s">
        <v>77</v>
      </c>
      <c r="AI21" s="93">
        <v>0.15</v>
      </c>
      <c r="AJ21" s="390" t="s">
        <v>104</v>
      </c>
    </row>
    <row r="22" spans="2:36" x14ac:dyDescent="0.35">
      <c r="B22" s="87">
        <v>12</v>
      </c>
      <c r="C22" s="334" t="s">
        <v>33</v>
      </c>
      <c r="D22" s="86"/>
      <c r="E22" s="181">
        <v>51</v>
      </c>
      <c r="F22" s="187">
        <v>76</v>
      </c>
      <c r="G22" s="187">
        <v>50</v>
      </c>
      <c r="H22" s="182">
        <v>44</v>
      </c>
      <c r="J22" s="181">
        <v>43</v>
      </c>
      <c r="K22" s="187"/>
      <c r="L22" s="187">
        <v>33</v>
      </c>
      <c r="M22" s="182">
        <v>42</v>
      </c>
      <c r="O22" s="181">
        <v>57</v>
      </c>
      <c r="P22" s="187">
        <v>45</v>
      </c>
      <c r="Q22" s="187">
        <v>30</v>
      </c>
      <c r="R22" s="182">
        <v>59</v>
      </c>
      <c r="T22" s="181">
        <v>69</v>
      </c>
      <c r="U22" s="187">
        <v>60</v>
      </c>
      <c r="V22" s="187">
        <v>37</v>
      </c>
      <c r="W22" s="187">
        <v>37</v>
      </c>
      <c r="X22" s="187">
        <v>74</v>
      </c>
      <c r="Y22" s="182">
        <v>51</v>
      </c>
      <c r="AA22" s="181">
        <v>70</v>
      </c>
      <c r="AB22" s="187">
        <v>28</v>
      </c>
      <c r="AC22" s="182">
        <v>69</v>
      </c>
      <c r="AE22" s="442">
        <v>1</v>
      </c>
      <c r="AF22" s="443">
        <v>0.5</v>
      </c>
      <c r="AH22" s="444" t="s">
        <v>75</v>
      </c>
      <c r="AI22" s="93">
        <v>0.1</v>
      </c>
      <c r="AJ22" s="390" t="s">
        <v>104</v>
      </c>
    </row>
    <row r="23" spans="2:36" x14ac:dyDescent="0.35">
      <c r="C23" s="328"/>
      <c r="D23" s="86"/>
    </row>
    <row r="24" spans="2:36" x14ac:dyDescent="0.35">
      <c r="D24" s="86"/>
    </row>
    <row r="25" spans="2:36" x14ac:dyDescent="0.35">
      <c r="D25" s="86"/>
    </row>
    <row r="26" spans="2:36" x14ac:dyDescent="0.35">
      <c r="D26" s="86"/>
    </row>
    <row r="27" spans="2:36" x14ac:dyDescent="0.35">
      <c r="D27" s="86"/>
    </row>
    <row r="28" spans="2:36" x14ac:dyDescent="0.35">
      <c r="D28" s="86"/>
    </row>
  </sheetData>
  <mergeCells count="9">
    <mergeCell ref="E7:AJ7"/>
    <mergeCell ref="E9:R9"/>
    <mergeCell ref="T9:AC9"/>
    <mergeCell ref="AA10:AC10"/>
    <mergeCell ref="AH10:AI10"/>
    <mergeCell ref="E10:H10"/>
    <mergeCell ref="J10:M10"/>
    <mergeCell ref="O10:R10"/>
    <mergeCell ref="T10:Y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852E4-FA1F-45E7-AE47-D0ACFC188DCE}">
  <sheetPr>
    <tabColor theme="1"/>
  </sheetPr>
  <dimension ref="B2"/>
  <sheetViews>
    <sheetView showGridLines="0" workbookViewId="0">
      <selection activeCell="B2" sqref="B2"/>
    </sheetView>
  </sheetViews>
  <sheetFormatPr defaultColWidth="8.81640625" defaultRowHeight="14.5" x14ac:dyDescent="0.35"/>
  <sheetData>
    <row r="2" spans="2:2" ht="18.5" x14ac:dyDescent="0.45">
      <c r="B2" s="3" t="s">
        <v>105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C0E3-76C1-4EF1-9E47-2EB9B8E2493A}">
  <dimension ref="B1:O181"/>
  <sheetViews>
    <sheetView showGridLines="0" zoomScale="61" zoomScaleNormal="66" workbookViewId="0"/>
  </sheetViews>
  <sheetFormatPr defaultColWidth="48.81640625" defaultRowHeight="15.75" customHeight="1" x14ac:dyDescent="0.35"/>
  <cols>
    <col min="1" max="1" width="3.7265625" customWidth="1"/>
    <col min="2" max="2" width="20.453125" style="94" customWidth="1"/>
    <col min="3" max="3" width="35.81640625" customWidth="1"/>
    <col min="4" max="15" width="30.7265625" customWidth="1"/>
  </cols>
  <sheetData>
    <row r="1" spans="2:15" ht="15" customHeight="1" x14ac:dyDescent="0.35">
      <c r="B1" s="42"/>
      <c r="D1" s="33"/>
    </row>
    <row r="2" spans="2:15" ht="23.5" x14ac:dyDescent="0.55000000000000004">
      <c r="B2" s="301" t="s">
        <v>106</v>
      </c>
      <c r="C2" s="301"/>
      <c r="D2" s="218"/>
      <c r="E2" s="218"/>
      <c r="F2" s="218"/>
    </row>
    <row r="3" spans="2:15" ht="15.5" x14ac:dyDescent="0.35">
      <c r="B3" s="302" t="s">
        <v>107</v>
      </c>
      <c r="D3" s="38"/>
      <c r="E3" s="38"/>
      <c r="F3" s="39"/>
      <c r="G3" s="39"/>
    </row>
    <row r="4" spans="2:15" ht="17.25" customHeight="1" x14ac:dyDescent="0.35">
      <c r="B4" s="303"/>
      <c r="D4" s="39"/>
      <c r="E4" s="39"/>
      <c r="F4" s="39"/>
      <c r="G4" s="39"/>
    </row>
    <row r="5" spans="2:15" ht="17.25" customHeight="1" x14ac:dyDescent="0.35">
      <c r="B5" s="43"/>
      <c r="D5" s="39"/>
      <c r="E5" s="39"/>
      <c r="F5" s="39"/>
      <c r="G5" s="39"/>
    </row>
    <row r="6" spans="2:15" ht="17.25" customHeight="1" x14ac:dyDescent="0.35">
      <c r="B6" s="43"/>
      <c r="D6" s="39"/>
      <c r="E6" s="39"/>
      <c r="F6" s="39"/>
      <c r="G6" s="39"/>
    </row>
    <row r="7" spans="2:15" ht="24" thickBot="1" x14ac:dyDescent="0.4">
      <c r="B7" s="221" t="s">
        <v>62</v>
      </c>
      <c r="C7" s="220"/>
      <c r="D7" s="219"/>
      <c r="E7" s="219"/>
      <c r="F7" s="219"/>
      <c r="G7" s="219"/>
      <c r="H7" s="219"/>
      <c r="I7" s="219"/>
      <c r="J7" s="219"/>
      <c r="K7" s="219"/>
      <c r="L7" s="219"/>
      <c r="M7" s="219"/>
      <c r="N7" s="219"/>
      <c r="O7" s="219"/>
    </row>
    <row r="8" spans="2:15" ht="18" customHeight="1" x14ac:dyDescent="0.35">
      <c r="B8" s="224"/>
      <c r="C8" s="39"/>
    </row>
    <row r="9" spans="2:15" ht="17.25" customHeight="1" thickBot="1" x14ac:dyDescent="0.4">
      <c r="B9" s="43"/>
      <c r="D9" s="39"/>
      <c r="E9" s="39"/>
      <c r="F9" s="39"/>
      <c r="G9" s="39"/>
    </row>
    <row r="10" spans="2:15" ht="17.25" customHeight="1" thickBot="1" x14ac:dyDescent="0.4">
      <c r="B10" s="43"/>
      <c r="D10" s="493" t="s">
        <v>16</v>
      </c>
      <c r="E10" s="494"/>
      <c r="F10" s="494"/>
      <c r="G10" s="494"/>
      <c r="H10" s="494"/>
      <c r="I10" s="495"/>
      <c r="J10" s="496" t="s">
        <v>20</v>
      </c>
      <c r="K10" s="497"/>
      <c r="L10" s="497"/>
      <c r="M10" s="497"/>
      <c r="N10" s="497"/>
      <c r="O10" s="498"/>
    </row>
    <row r="11" spans="2:15" ht="36" customHeight="1" thickBot="1" x14ac:dyDescent="0.4">
      <c r="C11" s="176" t="s">
        <v>108</v>
      </c>
      <c r="D11" s="523" t="s">
        <v>109</v>
      </c>
      <c r="E11" s="524"/>
      <c r="F11" s="508" t="s">
        <v>110</v>
      </c>
      <c r="G11" s="509"/>
      <c r="H11" s="508" t="s">
        <v>111</v>
      </c>
      <c r="I11" s="509"/>
      <c r="J11" s="499" t="s">
        <v>110</v>
      </c>
      <c r="K11" s="500"/>
      <c r="L11" s="499" t="s">
        <v>112</v>
      </c>
      <c r="M11" s="500"/>
      <c r="N11" s="525" t="s">
        <v>113</v>
      </c>
      <c r="O11" s="526"/>
    </row>
    <row r="12" spans="2:15" ht="15" thickBot="1" x14ac:dyDescent="0.4">
      <c r="C12" s="177" t="s">
        <v>114</v>
      </c>
      <c r="D12" s="204" t="s">
        <v>115</v>
      </c>
      <c r="E12" s="203" t="s">
        <v>116</v>
      </c>
      <c r="F12" s="204" t="s">
        <v>115</v>
      </c>
      <c r="G12" s="205" t="s">
        <v>117</v>
      </c>
      <c r="H12" s="206" t="s">
        <v>118</v>
      </c>
      <c r="I12" s="207" t="s">
        <v>117</v>
      </c>
      <c r="J12" s="206" t="s">
        <v>118</v>
      </c>
      <c r="K12" s="207" t="s">
        <v>117</v>
      </c>
      <c r="L12" s="206" t="s">
        <v>118</v>
      </c>
      <c r="M12" s="207" t="s">
        <v>117</v>
      </c>
      <c r="N12" s="208" t="s">
        <v>118</v>
      </c>
      <c r="O12" s="209" t="s">
        <v>116</v>
      </c>
    </row>
    <row r="13" spans="2:15" ht="48.75" customHeight="1" thickBot="1" x14ac:dyDescent="0.4">
      <c r="C13" s="179" t="s">
        <v>119</v>
      </c>
      <c r="D13" s="191" t="s">
        <v>120</v>
      </c>
      <c r="E13" s="199" t="s">
        <v>121</v>
      </c>
      <c r="F13" s="120" t="s">
        <v>120</v>
      </c>
      <c r="G13" s="138" t="s">
        <v>122</v>
      </c>
      <c r="H13" s="120" t="s">
        <v>123</v>
      </c>
      <c r="I13" s="138" t="s">
        <v>124</v>
      </c>
      <c r="J13" s="120" t="s">
        <v>125</v>
      </c>
      <c r="K13" s="138" t="s">
        <v>126</v>
      </c>
      <c r="L13" s="120" t="s">
        <v>127</v>
      </c>
      <c r="M13" s="138" t="s">
        <v>128</v>
      </c>
      <c r="N13" s="166" t="s">
        <v>129</v>
      </c>
      <c r="O13" s="167" t="s">
        <v>130</v>
      </c>
    </row>
    <row r="14" spans="2:15" ht="15" thickBot="1" x14ac:dyDescent="0.4">
      <c r="B14" s="178" t="s">
        <v>131</v>
      </c>
      <c r="C14" s="178" t="s">
        <v>132</v>
      </c>
      <c r="D14" s="484" t="s">
        <v>133</v>
      </c>
      <c r="E14" s="485"/>
      <c r="F14" s="485"/>
      <c r="G14" s="485"/>
      <c r="H14" s="485"/>
      <c r="I14" s="485"/>
      <c r="J14" s="485"/>
      <c r="K14" s="485"/>
      <c r="L14" s="485"/>
      <c r="M14" s="485"/>
      <c r="N14" s="485"/>
      <c r="O14" s="486"/>
    </row>
    <row r="15" spans="2:15" s="94" customFormat="1" ht="72.5" x14ac:dyDescent="0.35">
      <c r="B15" s="516" t="s">
        <v>134</v>
      </c>
      <c r="C15" s="197" t="s">
        <v>135</v>
      </c>
      <c r="D15" s="410" t="s">
        <v>136</v>
      </c>
      <c r="E15" s="411" t="s">
        <v>137</v>
      </c>
      <c r="F15" s="253" t="s">
        <v>138</v>
      </c>
      <c r="G15" s="46" t="s">
        <v>139</v>
      </c>
      <c r="H15" s="253" t="s">
        <v>138</v>
      </c>
      <c r="I15" s="46" t="s">
        <v>139</v>
      </c>
      <c r="J15" s="253" t="s">
        <v>138</v>
      </c>
      <c r="K15" s="46" t="s">
        <v>139</v>
      </c>
      <c r="L15" s="253" t="s">
        <v>138</v>
      </c>
      <c r="M15" s="46" t="s">
        <v>139</v>
      </c>
      <c r="N15" s="107" t="s">
        <v>138</v>
      </c>
      <c r="O15" s="54" t="s">
        <v>139</v>
      </c>
    </row>
    <row r="16" spans="2:15" s="94" customFormat="1" ht="58" x14ac:dyDescent="0.35">
      <c r="B16" s="517"/>
      <c r="C16" s="412" t="s">
        <v>140</v>
      </c>
      <c r="D16" s="413" t="s">
        <v>141</v>
      </c>
      <c r="E16" s="414" t="s">
        <v>141</v>
      </c>
      <c r="F16" s="40" t="s">
        <v>141</v>
      </c>
      <c r="G16" s="50" t="s">
        <v>141</v>
      </c>
      <c r="H16" s="40" t="s">
        <v>141</v>
      </c>
      <c r="I16" s="50" t="s">
        <v>141</v>
      </c>
      <c r="J16" s="40" t="s">
        <v>141</v>
      </c>
      <c r="K16" s="50" t="s">
        <v>141</v>
      </c>
      <c r="L16" s="40" t="s">
        <v>141</v>
      </c>
      <c r="M16" s="50" t="s">
        <v>141</v>
      </c>
      <c r="N16" s="40" t="s">
        <v>141</v>
      </c>
      <c r="O16" s="50" t="s">
        <v>141</v>
      </c>
    </row>
    <row r="17" spans="2:15" s="94" customFormat="1" ht="87.5" thickBot="1" x14ac:dyDescent="0.4">
      <c r="B17" s="518"/>
      <c r="C17" s="192" t="s">
        <v>142</v>
      </c>
      <c r="D17" s="193" t="s">
        <v>143</v>
      </c>
      <c r="E17" s="194" t="s">
        <v>143</v>
      </c>
      <c r="F17" s="104" t="s">
        <v>143</v>
      </c>
      <c r="G17" s="51" t="s">
        <v>143</v>
      </c>
      <c r="H17" s="104" t="s">
        <v>143</v>
      </c>
      <c r="I17" s="51" t="s">
        <v>143</v>
      </c>
      <c r="J17" s="110" t="s">
        <v>143</v>
      </c>
      <c r="K17" s="53" t="s">
        <v>143</v>
      </c>
      <c r="L17" s="110" t="s">
        <v>143</v>
      </c>
      <c r="M17" s="53" t="s">
        <v>143</v>
      </c>
      <c r="N17" s="110" t="s">
        <v>144</v>
      </c>
      <c r="O17" s="53" t="s">
        <v>144</v>
      </c>
    </row>
    <row r="18" spans="2:15" s="94" customFormat="1" ht="102" thickBot="1" x14ac:dyDescent="0.4">
      <c r="B18" s="133" t="s">
        <v>145</v>
      </c>
      <c r="C18" s="195" t="s">
        <v>146</v>
      </c>
      <c r="D18" s="415" t="s">
        <v>147</v>
      </c>
      <c r="E18" s="416" t="s">
        <v>147</v>
      </c>
      <c r="F18" s="105" t="s">
        <v>148</v>
      </c>
      <c r="G18" s="49" t="s">
        <v>148</v>
      </c>
      <c r="H18" s="105" t="s">
        <v>148</v>
      </c>
      <c r="I18" s="49" t="s">
        <v>148</v>
      </c>
      <c r="J18" s="105" t="s">
        <v>148</v>
      </c>
      <c r="K18" s="49" t="s">
        <v>148</v>
      </c>
      <c r="L18" s="105" t="s">
        <v>148</v>
      </c>
      <c r="M18" s="49" t="s">
        <v>148</v>
      </c>
      <c r="N18" s="105" t="s">
        <v>148</v>
      </c>
      <c r="O18" s="49" t="s">
        <v>148</v>
      </c>
    </row>
    <row r="19" spans="2:15" s="94" customFormat="1" ht="58" x14ac:dyDescent="0.35">
      <c r="B19" s="516" t="s">
        <v>149</v>
      </c>
      <c r="C19" s="198" t="s">
        <v>150</v>
      </c>
      <c r="D19" s="410" t="s">
        <v>151</v>
      </c>
      <c r="E19" s="411" t="s">
        <v>151</v>
      </c>
      <c r="F19" s="107" t="s">
        <v>152</v>
      </c>
      <c r="G19" s="54" t="s">
        <v>153</v>
      </c>
      <c r="H19" s="107" t="s">
        <v>154</v>
      </c>
      <c r="I19" s="54" t="s">
        <v>154</v>
      </c>
      <c r="J19" s="107" t="s">
        <v>152</v>
      </c>
      <c r="K19" s="54" t="s">
        <v>155</v>
      </c>
      <c r="L19" s="107" t="s">
        <v>154</v>
      </c>
      <c r="M19" s="54" t="s">
        <v>154</v>
      </c>
      <c r="N19" s="107" t="s">
        <v>154</v>
      </c>
      <c r="O19" s="54" t="s">
        <v>154</v>
      </c>
    </row>
    <row r="20" spans="2:15" s="94" customFormat="1" ht="58" x14ac:dyDescent="0.35">
      <c r="B20" s="517"/>
      <c r="C20" s="417" t="s">
        <v>156</v>
      </c>
      <c r="D20" s="413" t="s">
        <v>157</v>
      </c>
      <c r="E20" s="414" t="s">
        <v>157</v>
      </c>
      <c r="F20" s="40" t="s">
        <v>158</v>
      </c>
      <c r="G20" s="50" t="s">
        <v>158</v>
      </c>
      <c r="H20" s="40" t="s">
        <v>159</v>
      </c>
      <c r="I20" s="50" t="s">
        <v>159</v>
      </c>
      <c r="J20" s="40" t="s">
        <v>158</v>
      </c>
      <c r="K20" s="50" t="s">
        <v>158</v>
      </c>
      <c r="L20" s="40" t="s">
        <v>159</v>
      </c>
      <c r="M20" s="50" t="s">
        <v>159</v>
      </c>
      <c r="N20" s="40" t="s">
        <v>159</v>
      </c>
      <c r="O20" s="50" t="s">
        <v>159</v>
      </c>
    </row>
    <row r="21" spans="2:15" s="94" customFormat="1" ht="87" x14ac:dyDescent="0.35">
      <c r="B21" s="517"/>
      <c r="C21" s="417" t="s">
        <v>160</v>
      </c>
      <c r="D21" s="413" t="s">
        <v>161</v>
      </c>
      <c r="E21" s="414" t="s">
        <v>161</v>
      </c>
      <c r="F21" s="40" t="s">
        <v>161</v>
      </c>
      <c r="G21" s="50" t="s">
        <v>161</v>
      </c>
      <c r="H21" s="40" t="s">
        <v>161</v>
      </c>
      <c r="I21" s="50" t="s">
        <v>161</v>
      </c>
      <c r="J21" s="40" t="s">
        <v>161</v>
      </c>
      <c r="K21" s="50" t="s">
        <v>161</v>
      </c>
      <c r="L21" s="40" t="s">
        <v>161</v>
      </c>
      <c r="M21" s="50" t="s">
        <v>161</v>
      </c>
      <c r="N21" s="228" t="s">
        <v>162</v>
      </c>
      <c r="O21" s="141" t="s">
        <v>162</v>
      </c>
    </row>
    <row r="22" spans="2:15" s="94" customFormat="1" ht="29.5" thickBot="1" x14ac:dyDescent="0.4">
      <c r="B22" s="518"/>
      <c r="C22" s="196" t="s">
        <v>163</v>
      </c>
      <c r="D22" s="193" t="s">
        <v>164</v>
      </c>
      <c r="E22" s="194" t="s">
        <v>164</v>
      </c>
      <c r="F22" s="104" t="s">
        <v>164</v>
      </c>
      <c r="G22" s="51" t="s">
        <v>164</v>
      </c>
      <c r="H22" s="104" t="s">
        <v>164</v>
      </c>
      <c r="I22" s="51" t="s">
        <v>164</v>
      </c>
      <c r="J22" s="110" t="s">
        <v>164</v>
      </c>
      <c r="K22" s="53" t="s">
        <v>164</v>
      </c>
      <c r="L22" s="110" t="s">
        <v>164</v>
      </c>
      <c r="M22" s="53" t="s">
        <v>164</v>
      </c>
      <c r="N22" s="110" t="s">
        <v>164</v>
      </c>
      <c r="O22" s="53" t="s">
        <v>164</v>
      </c>
    </row>
    <row r="23" spans="2:15" s="94" customFormat="1" ht="130.5" x14ac:dyDescent="0.35">
      <c r="B23" s="516" t="s">
        <v>165</v>
      </c>
      <c r="C23" s="197" t="s">
        <v>166</v>
      </c>
      <c r="D23" s="410" t="s">
        <v>167</v>
      </c>
      <c r="E23" s="411" t="s">
        <v>168</v>
      </c>
      <c r="F23" s="107" t="s">
        <v>167</v>
      </c>
      <c r="G23" s="54" t="s">
        <v>168</v>
      </c>
      <c r="H23" s="107" t="s">
        <v>169</v>
      </c>
      <c r="I23" s="54" t="s">
        <v>169</v>
      </c>
      <c r="J23" s="107" t="s">
        <v>167</v>
      </c>
      <c r="K23" s="54" t="s">
        <v>170</v>
      </c>
      <c r="L23" s="107" t="s">
        <v>169</v>
      </c>
      <c r="M23" s="54" t="s">
        <v>169</v>
      </c>
      <c r="N23" s="107" t="s">
        <v>171</v>
      </c>
      <c r="O23" s="54" t="s">
        <v>171</v>
      </c>
    </row>
    <row r="24" spans="2:15" s="94" customFormat="1" ht="232.5" thickBot="1" x14ac:dyDescent="0.4">
      <c r="B24" s="518"/>
      <c r="C24" s="192" t="s">
        <v>172</v>
      </c>
      <c r="D24" s="193" t="s">
        <v>173</v>
      </c>
      <c r="E24" s="194" t="s">
        <v>174</v>
      </c>
      <c r="F24" s="104" t="s">
        <v>175</v>
      </c>
      <c r="G24" s="51" t="s">
        <v>176</v>
      </c>
      <c r="H24" s="104" t="s">
        <v>169</v>
      </c>
      <c r="I24" s="51" t="s">
        <v>169</v>
      </c>
      <c r="J24" s="110" t="s">
        <v>177</v>
      </c>
      <c r="K24" s="53" t="s">
        <v>178</v>
      </c>
      <c r="L24" s="104" t="s">
        <v>169</v>
      </c>
      <c r="M24" s="51" t="s">
        <v>169</v>
      </c>
      <c r="N24" s="104" t="s">
        <v>169</v>
      </c>
      <c r="O24" s="51" t="s">
        <v>169</v>
      </c>
    </row>
    <row r="25" spans="2:15" s="94" customFormat="1" ht="73" thickBot="1" x14ac:dyDescent="0.4">
      <c r="B25" s="134" t="s">
        <v>179</v>
      </c>
      <c r="C25" s="418" t="s">
        <v>180</v>
      </c>
      <c r="D25" s="415" t="s">
        <v>181</v>
      </c>
      <c r="E25" s="416" t="s">
        <v>181</v>
      </c>
      <c r="F25" s="105" t="s">
        <v>182</v>
      </c>
      <c r="G25" s="49" t="s">
        <v>182</v>
      </c>
      <c r="H25" s="105" t="s">
        <v>182</v>
      </c>
      <c r="I25" s="49" t="s">
        <v>182</v>
      </c>
      <c r="J25" s="105" t="s">
        <v>182</v>
      </c>
      <c r="K25" s="49" t="s">
        <v>182</v>
      </c>
      <c r="L25" s="105" t="s">
        <v>182</v>
      </c>
      <c r="M25" s="49" t="s">
        <v>182</v>
      </c>
      <c r="N25" s="105" t="s">
        <v>162</v>
      </c>
      <c r="O25" s="49" t="s">
        <v>162</v>
      </c>
    </row>
    <row r="26" spans="2:15" s="94" customFormat="1" ht="247" thickBot="1" x14ac:dyDescent="0.4">
      <c r="B26" s="419" t="s">
        <v>183</v>
      </c>
      <c r="C26" s="418" t="s">
        <v>184</v>
      </c>
      <c r="D26" s="415" t="s">
        <v>185</v>
      </c>
      <c r="E26" s="416" t="s">
        <v>186</v>
      </c>
      <c r="F26" s="416" t="s">
        <v>186</v>
      </c>
      <c r="G26" s="49" t="s">
        <v>186</v>
      </c>
      <c r="H26" s="105" t="s">
        <v>186</v>
      </c>
      <c r="I26" s="49" t="s">
        <v>186</v>
      </c>
      <c r="J26" s="216" t="s">
        <v>186</v>
      </c>
      <c r="K26" s="140" t="s">
        <v>186</v>
      </c>
      <c r="L26" s="140" t="s">
        <v>186</v>
      </c>
      <c r="M26" s="140" t="s">
        <v>186</v>
      </c>
      <c r="N26" s="216" t="s">
        <v>186</v>
      </c>
      <c r="O26" s="140" t="s">
        <v>186</v>
      </c>
    </row>
    <row r="27" spans="2:15" s="94" customFormat="1" ht="87" x14ac:dyDescent="0.35">
      <c r="B27" s="516" t="s">
        <v>187</v>
      </c>
      <c r="C27" s="198" t="s">
        <v>188</v>
      </c>
      <c r="D27" s="410" t="s">
        <v>189</v>
      </c>
      <c r="E27" s="411" t="s">
        <v>189</v>
      </c>
      <c r="F27" s="107" t="s">
        <v>190</v>
      </c>
      <c r="G27" s="54" t="s">
        <v>190</v>
      </c>
      <c r="H27" s="107" t="s">
        <v>190</v>
      </c>
      <c r="I27" s="54" t="s">
        <v>190</v>
      </c>
      <c r="J27" s="107" t="s">
        <v>190</v>
      </c>
      <c r="K27" s="54" t="s">
        <v>190</v>
      </c>
      <c r="L27" s="107" t="s">
        <v>190</v>
      </c>
      <c r="M27" s="54" t="s">
        <v>190</v>
      </c>
      <c r="N27" s="107" t="s">
        <v>190</v>
      </c>
      <c r="O27" s="54" t="s">
        <v>190</v>
      </c>
    </row>
    <row r="28" spans="2:15" s="94" customFormat="1" ht="44" thickBot="1" x14ac:dyDescent="0.4">
      <c r="B28" s="518"/>
      <c r="C28" s="196" t="s">
        <v>191</v>
      </c>
      <c r="D28" s="193" t="s">
        <v>192</v>
      </c>
      <c r="E28" s="194" t="s">
        <v>192</v>
      </c>
      <c r="F28" s="110" t="s">
        <v>192</v>
      </c>
      <c r="G28" s="53" t="s">
        <v>192</v>
      </c>
      <c r="H28" s="110" t="s">
        <v>193</v>
      </c>
      <c r="I28" s="53" t="s">
        <v>193</v>
      </c>
      <c r="J28" s="253" t="s">
        <v>192</v>
      </c>
      <c r="K28" s="46" t="s">
        <v>192</v>
      </c>
      <c r="L28" s="253" t="s">
        <v>193</v>
      </c>
      <c r="M28" s="46" t="s">
        <v>193</v>
      </c>
      <c r="N28" s="216" t="s">
        <v>162</v>
      </c>
      <c r="O28" s="140" t="s">
        <v>162</v>
      </c>
    </row>
    <row r="29" spans="2:15" s="94" customFormat="1" ht="29.5" thickBot="1" x14ac:dyDescent="0.4">
      <c r="B29" s="188" t="s">
        <v>194</v>
      </c>
      <c r="C29" s="420" t="s">
        <v>195</v>
      </c>
      <c r="D29" s="214" t="s">
        <v>196</v>
      </c>
      <c r="E29" s="215" t="s">
        <v>196</v>
      </c>
      <c r="F29" s="213" t="s">
        <v>196</v>
      </c>
      <c r="G29" s="52" t="s">
        <v>196</v>
      </c>
      <c r="H29" s="213" t="s">
        <v>197</v>
      </c>
      <c r="I29" s="52" t="s">
        <v>197</v>
      </c>
      <c r="J29" s="213" t="s">
        <v>196</v>
      </c>
      <c r="K29" s="52" t="s">
        <v>196</v>
      </c>
      <c r="L29" s="213" t="s">
        <v>197</v>
      </c>
      <c r="M29" s="52" t="s">
        <v>197</v>
      </c>
      <c r="N29" s="213" t="s">
        <v>197</v>
      </c>
      <c r="O29" s="52" t="s">
        <v>197</v>
      </c>
    </row>
    <row r="30" spans="2:15" s="94" customFormat="1" ht="29" x14ac:dyDescent="0.35">
      <c r="B30" s="482" t="s">
        <v>198</v>
      </c>
      <c r="C30" s="519" t="s">
        <v>199</v>
      </c>
      <c r="D30" s="521" t="s">
        <v>200</v>
      </c>
      <c r="E30" s="512" t="s">
        <v>200</v>
      </c>
      <c r="F30" s="13" t="s">
        <v>201</v>
      </c>
      <c r="G30" s="54" t="s">
        <v>201</v>
      </c>
      <c r="H30" s="13" t="s">
        <v>201</v>
      </c>
      <c r="I30" s="54" t="s">
        <v>201</v>
      </c>
      <c r="J30" s="514" t="s">
        <v>202</v>
      </c>
      <c r="K30" s="512" t="s">
        <v>202</v>
      </c>
      <c r="L30" s="514" t="s">
        <v>202</v>
      </c>
      <c r="M30" s="512" t="s">
        <v>202</v>
      </c>
      <c r="N30" s="514" t="s">
        <v>202</v>
      </c>
      <c r="O30" s="512" t="s">
        <v>202</v>
      </c>
    </row>
    <row r="31" spans="2:15" s="94" customFormat="1" ht="29.5" thickBot="1" x14ac:dyDescent="0.4">
      <c r="B31" s="483"/>
      <c r="C31" s="520"/>
      <c r="D31" s="522"/>
      <c r="E31" s="513"/>
      <c r="F31" s="15" t="s">
        <v>202</v>
      </c>
      <c r="G31" s="15" t="s">
        <v>202</v>
      </c>
      <c r="H31" s="15" t="s">
        <v>202</v>
      </c>
      <c r="I31" s="23" t="s">
        <v>202</v>
      </c>
      <c r="J31" s="515"/>
      <c r="K31" s="513"/>
      <c r="L31" s="515"/>
      <c r="M31" s="513"/>
      <c r="N31" s="515"/>
      <c r="O31" s="513"/>
    </row>
    <row r="32" spans="2:15" ht="14.5" x14ac:dyDescent="0.35">
      <c r="B32" s="99"/>
      <c r="C32" s="100"/>
      <c r="D32" s="100"/>
      <c r="E32" s="94"/>
      <c r="F32" s="94"/>
      <c r="G32" s="94"/>
    </row>
    <row r="33" spans="2:15" ht="14.5" x14ac:dyDescent="0.35">
      <c r="B33" s="99"/>
      <c r="C33" s="100"/>
      <c r="D33" s="100"/>
      <c r="E33" s="94"/>
      <c r="F33" s="94"/>
      <c r="G33" s="94"/>
    </row>
    <row r="34" spans="2:15" ht="14.5" x14ac:dyDescent="0.35">
      <c r="B34" s="99"/>
      <c r="C34" s="100"/>
      <c r="D34" s="100"/>
      <c r="E34" s="94"/>
      <c r="F34" s="94"/>
      <c r="G34" s="94"/>
    </row>
    <row r="35" spans="2:15" ht="24" thickBot="1" x14ac:dyDescent="0.6">
      <c r="B35" s="222" t="s">
        <v>203</v>
      </c>
      <c r="C35" s="210"/>
      <c r="D35" s="210"/>
      <c r="E35" s="211"/>
      <c r="F35" s="211"/>
      <c r="G35" s="211"/>
      <c r="H35" s="212"/>
      <c r="I35" s="212"/>
      <c r="J35" s="212"/>
      <c r="K35" s="212"/>
      <c r="L35" s="212"/>
      <c r="M35" s="212"/>
      <c r="N35" s="212"/>
      <c r="O35" s="212"/>
    </row>
    <row r="36" spans="2:15" ht="15.5" x14ac:dyDescent="0.35">
      <c r="B36" s="223"/>
      <c r="C36" s="100"/>
      <c r="D36" s="100"/>
      <c r="E36" s="94"/>
      <c r="F36" s="94"/>
      <c r="G36" s="94"/>
    </row>
    <row r="37" spans="2:15" ht="15" thickBot="1" x14ac:dyDescent="0.4">
      <c r="B37" s="99"/>
      <c r="C37" s="99"/>
      <c r="D37" s="99"/>
      <c r="E37" s="101"/>
      <c r="F37" s="101"/>
      <c r="G37" s="101"/>
    </row>
    <row r="38" spans="2:15" ht="19" thickBot="1" x14ac:dyDescent="0.4">
      <c r="B38" s="99"/>
      <c r="C38" s="99"/>
      <c r="D38" s="493" t="s">
        <v>16</v>
      </c>
      <c r="E38" s="494"/>
      <c r="F38" s="494"/>
      <c r="G38" s="494"/>
      <c r="H38" s="494"/>
      <c r="I38" s="495"/>
      <c r="J38" s="496" t="s">
        <v>20</v>
      </c>
      <c r="K38" s="497"/>
      <c r="L38" s="497"/>
      <c r="M38" s="497"/>
      <c r="N38" s="497"/>
      <c r="O38" s="498"/>
    </row>
    <row r="39" spans="2:15" ht="36" customHeight="1" thickBot="1" x14ac:dyDescent="0.4">
      <c r="B39" s="99"/>
      <c r="C39" s="118" t="s">
        <v>204</v>
      </c>
      <c r="D39" s="499" t="s">
        <v>109</v>
      </c>
      <c r="E39" s="500"/>
      <c r="F39" s="507" t="s">
        <v>110</v>
      </c>
      <c r="G39" s="500"/>
      <c r="H39" s="499" t="s">
        <v>205</v>
      </c>
      <c r="I39" s="500"/>
      <c r="J39" s="508" t="s">
        <v>110</v>
      </c>
      <c r="K39" s="509"/>
      <c r="L39" s="508" t="s">
        <v>112</v>
      </c>
      <c r="M39" s="509"/>
      <c r="N39" s="510" t="s">
        <v>23</v>
      </c>
      <c r="O39" s="511"/>
    </row>
    <row r="40" spans="2:15" ht="15" thickBot="1" x14ac:dyDescent="0.4">
      <c r="B40" s="99"/>
      <c r="C40" s="95" t="s">
        <v>114</v>
      </c>
      <c r="D40" s="204" t="s">
        <v>115</v>
      </c>
      <c r="E40" s="205" t="s">
        <v>117</v>
      </c>
      <c r="F40" s="229" t="s">
        <v>115</v>
      </c>
      <c r="G40" s="205" t="s">
        <v>117</v>
      </c>
      <c r="H40" s="206" t="s">
        <v>118</v>
      </c>
      <c r="I40" s="207" t="s">
        <v>117</v>
      </c>
      <c r="J40" s="206" t="s">
        <v>118</v>
      </c>
      <c r="K40" s="207" t="s">
        <v>117</v>
      </c>
      <c r="L40" s="206" t="s">
        <v>118</v>
      </c>
      <c r="M40" s="207" t="s">
        <v>117</v>
      </c>
      <c r="N40" s="208" t="s">
        <v>118</v>
      </c>
      <c r="O40" s="209" t="s">
        <v>116</v>
      </c>
    </row>
    <row r="41" spans="2:15" ht="48.75" customHeight="1" thickBot="1" x14ac:dyDescent="0.4">
      <c r="B41" s="99"/>
      <c r="C41" s="119" t="s">
        <v>119</v>
      </c>
      <c r="D41" s="97" t="s">
        <v>120</v>
      </c>
      <c r="E41" s="172" t="s">
        <v>122</v>
      </c>
      <c r="F41" s="97" t="s">
        <v>120</v>
      </c>
      <c r="G41" s="172" t="s">
        <v>122</v>
      </c>
      <c r="H41" s="97" t="s">
        <v>206</v>
      </c>
      <c r="I41" s="172" t="s">
        <v>124</v>
      </c>
      <c r="J41" s="97" t="s">
        <v>207</v>
      </c>
      <c r="K41" s="172" t="s">
        <v>126</v>
      </c>
      <c r="L41" s="97" t="s">
        <v>208</v>
      </c>
      <c r="M41" s="172" t="s">
        <v>124</v>
      </c>
      <c r="N41" s="230" t="s">
        <v>208</v>
      </c>
      <c r="O41" s="172" t="s">
        <v>124</v>
      </c>
    </row>
    <row r="42" spans="2:15" ht="15" thickBot="1" x14ac:dyDescent="0.4">
      <c r="B42" s="116" t="s">
        <v>131</v>
      </c>
      <c r="C42" s="117" t="s">
        <v>132</v>
      </c>
      <c r="D42" s="504" t="s">
        <v>209</v>
      </c>
      <c r="E42" s="505"/>
      <c r="F42" s="505"/>
      <c r="G42" s="505"/>
      <c r="H42" s="505"/>
      <c r="I42" s="505"/>
      <c r="J42" s="505"/>
      <c r="K42" s="505"/>
      <c r="L42" s="505"/>
      <c r="M42" s="505"/>
      <c r="N42" s="505"/>
      <c r="O42" s="506"/>
    </row>
    <row r="43" spans="2:15" ht="43.5" x14ac:dyDescent="0.35">
      <c r="B43" s="482" t="s">
        <v>134</v>
      </c>
      <c r="C43" s="22" t="s">
        <v>210</v>
      </c>
      <c r="D43" s="131" t="s">
        <v>138</v>
      </c>
      <c r="E43" s="137" t="s">
        <v>139</v>
      </c>
      <c r="F43" s="131" t="s">
        <v>138</v>
      </c>
      <c r="G43" s="137" t="s">
        <v>139</v>
      </c>
      <c r="H43" s="131" t="s">
        <v>138</v>
      </c>
      <c r="I43" s="137" t="s">
        <v>139</v>
      </c>
      <c r="J43" s="131" t="s">
        <v>138</v>
      </c>
      <c r="K43" s="137" t="s">
        <v>139</v>
      </c>
      <c r="L43" s="163" t="s">
        <v>138</v>
      </c>
      <c r="M43" s="137" t="s">
        <v>139</v>
      </c>
      <c r="N43" s="163" t="s">
        <v>138</v>
      </c>
      <c r="O43" s="137" t="s">
        <v>139</v>
      </c>
    </row>
    <row r="44" spans="2:15" ht="58" x14ac:dyDescent="0.35">
      <c r="B44" s="490"/>
      <c r="C44" s="21" t="s">
        <v>211</v>
      </c>
      <c r="D44" s="109" t="s">
        <v>141</v>
      </c>
      <c r="E44" s="125" t="s">
        <v>141</v>
      </c>
      <c r="F44" s="109" t="s">
        <v>141</v>
      </c>
      <c r="G44" s="125" t="s">
        <v>141</v>
      </c>
      <c r="H44" s="109" t="s">
        <v>141</v>
      </c>
      <c r="I44" s="125" t="s">
        <v>141</v>
      </c>
      <c r="J44" s="109" t="s">
        <v>141</v>
      </c>
      <c r="K44" s="125" t="s">
        <v>141</v>
      </c>
      <c r="L44" s="161" t="s">
        <v>141</v>
      </c>
      <c r="M44" s="125" t="s">
        <v>141</v>
      </c>
      <c r="N44" s="161" t="s">
        <v>141</v>
      </c>
      <c r="O44" s="125" t="s">
        <v>141</v>
      </c>
    </row>
    <row r="45" spans="2:15" ht="87.5" thickBot="1" x14ac:dyDescent="0.4">
      <c r="B45" s="490"/>
      <c r="C45" s="48" t="s">
        <v>212</v>
      </c>
      <c r="D45" s="130" t="s">
        <v>143</v>
      </c>
      <c r="E45" s="135" t="s">
        <v>143</v>
      </c>
      <c r="F45" s="115" t="s">
        <v>143</v>
      </c>
      <c r="G45" s="128" t="s">
        <v>143</v>
      </c>
      <c r="H45" s="115" t="s">
        <v>143</v>
      </c>
      <c r="I45" s="128" t="s">
        <v>143</v>
      </c>
      <c r="J45" s="130" t="s">
        <v>143</v>
      </c>
      <c r="K45" s="135" t="s">
        <v>143</v>
      </c>
      <c r="L45" s="162" t="s">
        <v>143</v>
      </c>
      <c r="M45" s="128" t="s">
        <v>143</v>
      </c>
      <c r="N45" s="162" t="s">
        <v>143</v>
      </c>
      <c r="O45" s="128" t="s">
        <v>143</v>
      </c>
    </row>
    <row r="46" spans="2:15" ht="87.5" thickBot="1" x14ac:dyDescent="0.4">
      <c r="B46" s="133" t="s">
        <v>213</v>
      </c>
      <c r="C46" s="24" t="s">
        <v>214</v>
      </c>
      <c r="D46" s="113" t="s">
        <v>215</v>
      </c>
      <c r="E46" s="68" t="s">
        <v>215</v>
      </c>
      <c r="F46" s="113" t="s">
        <v>148</v>
      </c>
      <c r="G46" s="68" t="s">
        <v>148</v>
      </c>
      <c r="H46" s="113" t="s">
        <v>148</v>
      </c>
      <c r="I46" s="68" t="s">
        <v>148</v>
      </c>
      <c r="J46" s="113" t="s">
        <v>148</v>
      </c>
      <c r="K46" s="68" t="s">
        <v>148</v>
      </c>
      <c r="L46" s="67" t="s">
        <v>148</v>
      </c>
      <c r="M46" s="68" t="s">
        <v>148</v>
      </c>
      <c r="N46" s="67" t="s">
        <v>148</v>
      </c>
      <c r="O46" s="68" t="s">
        <v>148</v>
      </c>
    </row>
    <row r="47" spans="2:15" ht="58" x14ac:dyDescent="0.35">
      <c r="B47" s="482" t="s">
        <v>149</v>
      </c>
      <c r="C47" s="96" t="s">
        <v>150</v>
      </c>
      <c r="D47" s="114" t="s">
        <v>152</v>
      </c>
      <c r="E47" s="127" t="s">
        <v>153</v>
      </c>
      <c r="F47" s="114" t="s">
        <v>152</v>
      </c>
      <c r="G47" s="127" t="s">
        <v>153</v>
      </c>
      <c r="H47" s="114" t="s">
        <v>154</v>
      </c>
      <c r="I47" s="127" t="s">
        <v>154</v>
      </c>
      <c r="J47" s="114" t="s">
        <v>152</v>
      </c>
      <c r="K47" s="127" t="s">
        <v>155</v>
      </c>
      <c r="L47" s="164" t="s">
        <v>154</v>
      </c>
      <c r="M47" s="127" t="s">
        <v>154</v>
      </c>
      <c r="N47" s="164" t="s">
        <v>154</v>
      </c>
      <c r="O47" s="127" t="s">
        <v>154</v>
      </c>
    </row>
    <row r="48" spans="2:15" ht="43.5" x14ac:dyDescent="0.35">
      <c r="B48" s="490"/>
      <c r="C48" s="31" t="s">
        <v>156</v>
      </c>
      <c r="D48" s="109" t="s">
        <v>158</v>
      </c>
      <c r="E48" s="125" t="s">
        <v>158</v>
      </c>
      <c r="F48" s="109" t="s">
        <v>158</v>
      </c>
      <c r="G48" s="125" t="s">
        <v>158</v>
      </c>
      <c r="H48" s="109" t="s">
        <v>159</v>
      </c>
      <c r="I48" s="125" t="s">
        <v>159</v>
      </c>
      <c r="J48" s="109" t="s">
        <v>158</v>
      </c>
      <c r="K48" s="125" t="s">
        <v>158</v>
      </c>
      <c r="L48" s="161" t="s">
        <v>159</v>
      </c>
      <c r="M48" s="125" t="s">
        <v>159</v>
      </c>
      <c r="N48" s="161" t="s">
        <v>159</v>
      </c>
      <c r="O48" s="125" t="s">
        <v>159</v>
      </c>
    </row>
    <row r="49" spans="2:15" ht="72.5" x14ac:dyDescent="0.35">
      <c r="B49" s="490"/>
      <c r="C49" s="31" t="s">
        <v>160</v>
      </c>
      <c r="D49" s="109" t="s">
        <v>161</v>
      </c>
      <c r="E49" s="125" t="s">
        <v>161</v>
      </c>
      <c r="F49" s="109" t="s">
        <v>161</v>
      </c>
      <c r="G49" s="125" t="s">
        <v>161</v>
      </c>
      <c r="H49" s="109" t="s">
        <v>161</v>
      </c>
      <c r="I49" s="125" t="s">
        <v>161</v>
      </c>
      <c r="J49" s="109" t="s">
        <v>161</v>
      </c>
      <c r="K49" s="125" t="s">
        <v>161</v>
      </c>
      <c r="L49" s="161" t="s">
        <v>161</v>
      </c>
      <c r="M49" s="125" t="s">
        <v>161</v>
      </c>
      <c r="N49" s="161" t="s">
        <v>161</v>
      </c>
      <c r="O49" s="125" t="s">
        <v>161</v>
      </c>
    </row>
    <row r="50" spans="2:15" ht="29.5" thickBot="1" x14ac:dyDescent="0.4">
      <c r="B50" s="483"/>
      <c r="C50" s="27" t="s">
        <v>163</v>
      </c>
      <c r="D50" s="115" t="s">
        <v>164</v>
      </c>
      <c r="E50" s="128" t="s">
        <v>164</v>
      </c>
      <c r="F50" s="115" t="s">
        <v>164</v>
      </c>
      <c r="G50" s="128" t="s">
        <v>164</v>
      </c>
      <c r="H50" s="115" t="s">
        <v>164</v>
      </c>
      <c r="I50" s="128" t="s">
        <v>164</v>
      </c>
      <c r="J50" s="130" t="s">
        <v>164</v>
      </c>
      <c r="K50" s="135" t="s">
        <v>164</v>
      </c>
      <c r="L50" s="162" t="s">
        <v>164</v>
      </c>
      <c r="M50" s="128" t="s">
        <v>164</v>
      </c>
      <c r="N50" s="162" t="s">
        <v>164</v>
      </c>
      <c r="O50" s="128" t="s">
        <v>164</v>
      </c>
    </row>
    <row r="51" spans="2:15" ht="116" x14ac:dyDescent="0.35">
      <c r="B51" s="482" t="s">
        <v>165</v>
      </c>
      <c r="C51" s="25" t="s">
        <v>166</v>
      </c>
      <c r="D51" s="114" t="s">
        <v>167</v>
      </c>
      <c r="E51" s="127" t="s">
        <v>216</v>
      </c>
      <c r="F51" s="114" t="s">
        <v>167</v>
      </c>
      <c r="G51" s="127" t="s">
        <v>168</v>
      </c>
      <c r="H51" s="114" t="s">
        <v>169</v>
      </c>
      <c r="I51" s="127" t="s">
        <v>169</v>
      </c>
      <c r="J51" s="114" t="s">
        <v>167</v>
      </c>
      <c r="K51" s="127" t="s">
        <v>217</v>
      </c>
      <c r="L51" s="164" t="s">
        <v>169</v>
      </c>
      <c r="M51" s="127" t="s">
        <v>169</v>
      </c>
      <c r="N51" s="164" t="s">
        <v>169</v>
      </c>
      <c r="O51" s="127" t="s">
        <v>169</v>
      </c>
    </row>
    <row r="52" spans="2:15" ht="218" thickBot="1" x14ac:dyDescent="0.4">
      <c r="B52" s="483"/>
      <c r="C52" s="23" t="s">
        <v>172</v>
      </c>
      <c r="D52" s="115" t="s">
        <v>218</v>
      </c>
      <c r="E52" s="128" t="s">
        <v>219</v>
      </c>
      <c r="F52" s="115" t="s">
        <v>218</v>
      </c>
      <c r="G52" s="128" t="s">
        <v>219</v>
      </c>
      <c r="H52" s="115" t="s">
        <v>169</v>
      </c>
      <c r="I52" s="128" t="s">
        <v>169</v>
      </c>
      <c r="J52" s="130" t="s">
        <v>177</v>
      </c>
      <c r="K52" s="135" t="s">
        <v>220</v>
      </c>
      <c r="L52" s="162" t="s">
        <v>169</v>
      </c>
      <c r="M52" s="128" t="s">
        <v>169</v>
      </c>
      <c r="N52" s="162" t="s">
        <v>169</v>
      </c>
      <c r="O52" s="128" t="s">
        <v>169</v>
      </c>
    </row>
    <row r="53" spans="2:15" ht="29.5" thickBot="1" x14ac:dyDescent="0.4">
      <c r="B53" s="134" t="s">
        <v>179</v>
      </c>
      <c r="C53" s="98" t="s">
        <v>221</v>
      </c>
      <c r="D53" s="113" t="s">
        <v>182</v>
      </c>
      <c r="E53" s="225" t="s">
        <v>182</v>
      </c>
      <c r="F53" s="113" t="s">
        <v>182</v>
      </c>
      <c r="G53" s="225" t="s">
        <v>182</v>
      </c>
      <c r="H53" s="226" t="s">
        <v>182</v>
      </c>
      <c r="I53" s="225" t="s">
        <v>182</v>
      </c>
      <c r="J53" s="113" t="s">
        <v>182</v>
      </c>
      <c r="K53" s="225" t="s">
        <v>182</v>
      </c>
      <c r="L53" s="227" t="s">
        <v>182</v>
      </c>
      <c r="M53" s="225" t="s">
        <v>182</v>
      </c>
      <c r="N53" s="67" t="s">
        <v>182</v>
      </c>
      <c r="O53" s="225" t="s">
        <v>182</v>
      </c>
    </row>
    <row r="54" spans="2:15" ht="58.5" thickBot="1" x14ac:dyDescent="0.4">
      <c r="B54" s="133" t="s">
        <v>222</v>
      </c>
      <c r="C54" s="98" t="s">
        <v>184</v>
      </c>
      <c r="D54" s="113" t="s">
        <v>223</v>
      </c>
      <c r="E54" s="68" t="s">
        <v>223</v>
      </c>
      <c r="F54" s="113" t="s">
        <v>223</v>
      </c>
      <c r="G54" s="68" t="s">
        <v>223</v>
      </c>
      <c r="H54" s="113" t="s">
        <v>224</v>
      </c>
      <c r="I54" s="68" t="s">
        <v>186</v>
      </c>
      <c r="J54" s="132" t="s">
        <v>223</v>
      </c>
      <c r="K54" s="136" t="s">
        <v>223</v>
      </c>
      <c r="L54" s="231" t="s">
        <v>186</v>
      </c>
      <c r="M54" s="68" t="s">
        <v>186</v>
      </c>
      <c r="N54" s="231" t="s">
        <v>186</v>
      </c>
      <c r="O54" s="68" t="s">
        <v>186</v>
      </c>
    </row>
    <row r="55" spans="2:15" ht="87" x14ac:dyDescent="0.35">
      <c r="B55" s="482" t="s">
        <v>187</v>
      </c>
      <c r="C55" s="20" t="s">
        <v>188</v>
      </c>
      <c r="D55" s="114" t="s">
        <v>190</v>
      </c>
      <c r="E55" s="127" t="s">
        <v>190</v>
      </c>
      <c r="F55" s="114" t="s">
        <v>190</v>
      </c>
      <c r="G55" s="127" t="s">
        <v>190</v>
      </c>
      <c r="H55" s="114" t="s">
        <v>190</v>
      </c>
      <c r="I55" s="127" t="s">
        <v>190</v>
      </c>
      <c r="J55" s="114" t="s">
        <v>190</v>
      </c>
      <c r="K55" s="127" t="s">
        <v>190</v>
      </c>
      <c r="L55" s="164" t="s">
        <v>190</v>
      </c>
      <c r="M55" s="127" t="s">
        <v>190</v>
      </c>
      <c r="N55" s="164" t="s">
        <v>190</v>
      </c>
      <c r="O55" s="127" t="s">
        <v>190</v>
      </c>
    </row>
    <row r="56" spans="2:15" ht="44" thickBot="1" x14ac:dyDescent="0.4">
      <c r="B56" s="483"/>
      <c r="C56" s="27" t="s">
        <v>191</v>
      </c>
      <c r="D56" s="115" t="s">
        <v>192</v>
      </c>
      <c r="E56" s="128" t="s">
        <v>192</v>
      </c>
      <c r="F56" s="115" t="s">
        <v>192</v>
      </c>
      <c r="G56" s="128" t="s">
        <v>192</v>
      </c>
      <c r="H56" s="115" t="s">
        <v>193</v>
      </c>
      <c r="I56" s="128" t="s">
        <v>193</v>
      </c>
      <c r="J56" s="131" t="s">
        <v>192</v>
      </c>
      <c r="K56" s="137" t="s">
        <v>192</v>
      </c>
      <c r="L56" s="162" t="s">
        <v>193</v>
      </c>
      <c r="M56" s="128" t="s">
        <v>193</v>
      </c>
      <c r="N56" s="162" t="s">
        <v>193</v>
      </c>
      <c r="O56" s="128" t="s">
        <v>193</v>
      </c>
    </row>
    <row r="57" spans="2:15" ht="29.5" thickBot="1" x14ac:dyDescent="0.4">
      <c r="B57" s="133" t="s">
        <v>225</v>
      </c>
      <c r="C57" s="56" t="s">
        <v>195</v>
      </c>
      <c r="D57" s="113" t="s">
        <v>196</v>
      </c>
      <c r="E57" s="68" t="s">
        <v>196</v>
      </c>
      <c r="F57" s="113" t="s">
        <v>196</v>
      </c>
      <c r="G57" s="68" t="s">
        <v>196</v>
      </c>
      <c r="H57" s="113" t="s">
        <v>197</v>
      </c>
      <c r="I57" s="68" t="s">
        <v>197</v>
      </c>
      <c r="J57" s="113" t="s">
        <v>196</v>
      </c>
      <c r="K57" s="68" t="s">
        <v>196</v>
      </c>
      <c r="L57" s="67" t="s">
        <v>197</v>
      </c>
      <c r="M57" s="68" t="s">
        <v>197</v>
      </c>
      <c r="N57" s="67" t="s">
        <v>197</v>
      </c>
      <c r="O57" s="68" t="s">
        <v>197</v>
      </c>
    </row>
    <row r="58" spans="2:15" ht="58.5" thickBot="1" x14ac:dyDescent="0.4">
      <c r="B58" s="133" t="s">
        <v>226</v>
      </c>
      <c r="C58" s="59" t="s">
        <v>199</v>
      </c>
      <c r="D58" s="113" t="s">
        <v>200</v>
      </c>
      <c r="E58" s="68" t="s">
        <v>200</v>
      </c>
      <c r="F58" s="113" t="s">
        <v>227</v>
      </c>
      <c r="G58" s="68" t="s">
        <v>227</v>
      </c>
      <c r="H58" s="113" t="s">
        <v>227</v>
      </c>
      <c r="I58" s="68" t="s">
        <v>227</v>
      </c>
      <c r="J58" s="132" t="s">
        <v>227</v>
      </c>
      <c r="K58" s="68" t="s">
        <v>227</v>
      </c>
      <c r="L58" s="67" t="s">
        <v>227</v>
      </c>
      <c r="M58" s="68" t="s">
        <v>227</v>
      </c>
      <c r="N58" s="67" t="s">
        <v>227</v>
      </c>
      <c r="O58" s="68" t="s">
        <v>227</v>
      </c>
    </row>
    <row r="61" spans="2:15" ht="24" thickBot="1" x14ac:dyDescent="0.6">
      <c r="B61" s="222" t="s">
        <v>81</v>
      </c>
      <c r="C61" s="212"/>
      <c r="D61" s="212"/>
      <c r="E61" s="212"/>
      <c r="F61" s="212"/>
      <c r="G61" s="212"/>
      <c r="H61" s="212"/>
      <c r="I61" s="212"/>
      <c r="J61" s="212"/>
      <c r="K61" s="212"/>
      <c r="L61" s="212"/>
      <c r="M61" s="212"/>
      <c r="N61" s="212"/>
      <c r="O61" s="212"/>
    </row>
    <row r="62" spans="2:15" ht="15.75" customHeight="1" x14ac:dyDescent="0.35">
      <c r="B62" s="223"/>
    </row>
    <row r="63" spans="2:15" ht="15.75" customHeight="1" thickBot="1" x14ac:dyDescent="0.4"/>
    <row r="64" spans="2:15" ht="19.5" customHeight="1" thickBot="1" x14ac:dyDescent="0.4">
      <c r="D64" s="493" t="s">
        <v>16</v>
      </c>
      <c r="E64" s="494"/>
      <c r="F64" s="494"/>
      <c r="G64" s="494"/>
      <c r="H64" s="494"/>
      <c r="I64" s="495"/>
      <c r="J64" s="496" t="s">
        <v>20</v>
      </c>
      <c r="K64" s="497"/>
      <c r="L64" s="497"/>
      <c r="M64" s="497"/>
      <c r="N64" s="497"/>
    </row>
    <row r="65" spans="2:14" ht="36" customHeight="1" thickBot="1" x14ac:dyDescent="0.4">
      <c r="C65" s="118" t="s">
        <v>204</v>
      </c>
      <c r="D65" s="499" t="s">
        <v>109</v>
      </c>
      <c r="E65" s="500"/>
      <c r="F65" s="499" t="s">
        <v>82</v>
      </c>
      <c r="G65" s="500"/>
      <c r="H65" s="499" t="s">
        <v>228</v>
      </c>
      <c r="I65" s="500"/>
      <c r="J65" s="501" t="s">
        <v>229</v>
      </c>
      <c r="K65" s="502"/>
      <c r="L65" s="503"/>
      <c r="M65" s="501" t="s">
        <v>230</v>
      </c>
      <c r="N65" s="502"/>
    </row>
    <row r="66" spans="2:14" ht="15" thickBot="1" x14ac:dyDescent="0.4">
      <c r="C66" s="32" t="s">
        <v>114</v>
      </c>
      <c r="D66" s="206" t="s">
        <v>118</v>
      </c>
      <c r="E66" s="207" t="s">
        <v>117</v>
      </c>
      <c r="F66" s="206" t="s">
        <v>118</v>
      </c>
      <c r="G66" s="232" t="s">
        <v>117</v>
      </c>
      <c r="H66" s="206" t="s">
        <v>118</v>
      </c>
      <c r="I66" s="232" t="s">
        <v>117</v>
      </c>
      <c r="J66" s="204" t="s">
        <v>118</v>
      </c>
      <c r="K66" s="251" t="s">
        <v>117</v>
      </c>
      <c r="L66" s="250" t="s">
        <v>231</v>
      </c>
      <c r="M66" s="204" t="s">
        <v>118</v>
      </c>
      <c r="N66" s="234" t="s">
        <v>117</v>
      </c>
    </row>
    <row r="67" spans="2:14" ht="15" thickBot="1" x14ac:dyDescent="0.4">
      <c r="C67" s="235" t="s">
        <v>232</v>
      </c>
      <c r="D67" s="236" t="s">
        <v>233</v>
      </c>
      <c r="E67" s="237" t="s">
        <v>233</v>
      </c>
      <c r="F67" s="238" t="s">
        <v>233</v>
      </c>
      <c r="G67" s="237" t="s">
        <v>233</v>
      </c>
      <c r="H67" s="239" t="s">
        <v>233</v>
      </c>
      <c r="I67" s="240" t="s">
        <v>233</v>
      </c>
      <c r="J67" s="238" t="s">
        <v>233</v>
      </c>
      <c r="K67" s="241" t="s">
        <v>233</v>
      </c>
      <c r="L67" s="237" t="s">
        <v>234</v>
      </c>
      <c r="M67" s="238" t="s">
        <v>233</v>
      </c>
      <c r="N67" s="241" t="s">
        <v>233</v>
      </c>
    </row>
    <row r="68" spans="2:14" ht="58.5" thickBot="1" x14ac:dyDescent="0.4">
      <c r="C68" s="243" t="s">
        <v>235</v>
      </c>
      <c r="D68" s="108" t="s">
        <v>236</v>
      </c>
      <c r="E68" s="244" t="s">
        <v>237</v>
      </c>
      <c r="F68" s="245" t="s">
        <v>236</v>
      </c>
      <c r="G68" s="244" t="s">
        <v>237</v>
      </c>
      <c r="H68" s="246" t="s">
        <v>236</v>
      </c>
      <c r="I68" s="247" t="s">
        <v>237</v>
      </c>
      <c r="J68" s="248" t="s">
        <v>238</v>
      </c>
      <c r="K68" s="249" t="s">
        <v>239</v>
      </c>
      <c r="L68" s="172" t="s">
        <v>240</v>
      </c>
      <c r="M68" s="108" t="s">
        <v>129</v>
      </c>
      <c r="N68" s="123" t="s">
        <v>130</v>
      </c>
    </row>
    <row r="69" spans="2:14" ht="15" thickBot="1" x14ac:dyDescent="0.4">
      <c r="B69" s="139" t="s">
        <v>131</v>
      </c>
      <c r="C69" s="242" t="s">
        <v>132</v>
      </c>
      <c r="D69" s="484" t="s">
        <v>241</v>
      </c>
      <c r="E69" s="485"/>
      <c r="F69" s="485"/>
      <c r="G69" s="485"/>
      <c r="H69" s="485"/>
      <c r="I69" s="485"/>
      <c r="J69" s="485"/>
      <c r="K69" s="485"/>
      <c r="L69" s="485"/>
      <c r="M69" s="485"/>
      <c r="N69" s="486"/>
    </row>
    <row r="70" spans="2:14" ht="58.5" thickBot="1" x14ac:dyDescent="0.4">
      <c r="B70" s="133" t="s">
        <v>242</v>
      </c>
      <c r="C70" s="59" t="s">
        <v>243</v>
      </c>
      <c r="D70" s="105" t="s">
        <v>244</v>
      </c>
      <c r="E70" s="49" t="s">
        <v>244</v>
      </c>
      <c r="F70" s="105" t="s">
        <v>245</v>
      </c>
      <c r="G70" s="49" t="s">
        <v>245</v>
      </c>
      <c r="H70" s="105" t="s">
        <v>244</v>
      </c>
      <c r="I70" s="49" t="s">
        <v>244</v>
      </c>
      <c r="J70" s="16" t="s">
        <v>246</v>
      </c>
      <c r="K70" s="12" t="s">
        <v>247</v>
      </c>
      <c r="L70" s="49" t="s">
        <v>248</v>
      </c>
      <c r="M70" s="105" t="s">
        <v>247</v>
      </c>
      <c r="N70" s="49" t="s">
        <v>247</v>
      </c>
    </row>
    <row r="71" spans="2:14" ht="58" x14ac:dyDescent="0.35">
      <c r="B71" s="487" t="s">
        <v>249</v>
      </c>
      <c r="C71" s="25" t="s">
        <v>250</v>
      </c>
      <c r="D71" s="107" t="s">
        <v>251</v>
      </c>
      <c r="E71" s="54" t="s">
        <v>252</v>
      </c>
      <c r="F71" s="107" t="s">
        <v>253</v>
      </c>
      <c r="G71" s="54" t="s">
        <v>254</v>
      </c>
      <c r="H71" s="107" t="s">
        <v>252</v>
      </c>
      <c r="I71" s="54" t="s">
        <v>252</v>
      </c>
      <c r="J71" s="13" t="s">
        <v>255</v>
      </c>
      <c r="K71" s="10" t="s">
        <v>256</v>
      </c>
      <c r="L71" s="54" t="s">
        <v>257</v>
      </c>
      <c r="M71" s="107" t="s">
        <v>258</v>
      </c>
      <c r="N71" s="54" t="s">
        <v>258</v>
      </c>
    </row>
    <row r="72" spans="2:14" ht="43.5" x14ac:dyDescent="0.35">
      <c r="B72" s="488"/>
      <c r="C72" s="55" t="s">
        <v>259</v>
      </c>
      <c r="D72" s="40" t="s">
        <v>260</v>
      </c>
      <c r="E72" s="50" t="s">
        <v>260</v>
      </c>
      <c r="F72" s="40" t="s">
        <v>260</v>
      </c>
      <c r="G72" s="50" t="s">
        <v>260</v>
      </c>
      <c r="H72" s="40" t="s">
        <v>260</v>
      </c>
      <c r="I72" s="50" t="s">
        <v>260</v>
      </c>
      <c r="J72" s="17" t="s">
        <v>260</v>
      </c>
      <c r="K72" s="1" t="s">
        <v>260</v>
      </c>
      <c r="L72" s="50" t="s">
        <v>260</v>
      </c>
      <c r="M72" s="40" t="s">
        <v>260</v>
      </c>
      <c r="N72" s="50" t="s">
        <v>260</v>
      </c>
    </row>
    <row r="73" spans="2:14" ht="43.5" x14ac:dyDescent="0.35">
      <c r="B73" s="488"/>
      <c r="C73" s="55" t="s">
        <v>261</v>
      </c>
      <c r="D73" s="40" t="s">
        <v>260</v>
      </c>
      <c r="E73" s="50" t="s">
        <v>260</v>
      </c>
      <c r="F73" s="40" t="s">
        <v>262</v>
      </c>
      <c r="G73" s="50" t="s">
        <v>262</v>
      </c>
      <c r="H73" s="40" t="s">
        <v>262</v>
      </c>
      <c r="I73" s="50" t="s">
        <v>262</v>
      </c>
      <c r="J73" s="17" t="s">
        <v>262</v>
      </c>
      <c r="K73" s="1" t="s">
        <v>262</v>
      </c>
      <c r="L73" s="50" t="s">
        <v>262</v>
      </c>
      <c r="M73" s="40" t="s">
        <v>262</v>
      </c>
      <c r="N73" s="50" t="s">
        <v>262</v>
      </c>
    </row>
    <row r="74" spans="2:14" ht="46.5" customHeight="1" x14ac:dyDescent="0.35">
      <c r="B74" s="488"/>
      <c r="C74" s="55" t="s">
        <v>263</v>
      </c>
      <c r="D74" s="40" t="s">
        <v>264</v>
      </c>
      <c r="E74" s="50" t="s">
        <v>264</v>
      </c>
      <c r="F74" s="40" t="s">
        <v>264</v>
      </c>
      <c r="G74" s="1" t="s">
        <v>264</v>
      </c>
      <c r="H74" s="40" t="s">
        <v>264</v>
      </c>
      <c r="I74" s="50" t="s">
        <v>264</v>
      </c>
      <c r="J74" s="40" t="s">
        <v>264</v>
      </c>
      <c r="K74" s="1" t="s">
        <v>264</v>
      </c>
      <c r="L74" s="421" t="s">
        <v>264</v>
      </c>
      <c r="M74" s="40" t="s">
        <v>162</v>
      </c>
      <c r="N74" s="50" t="s">
        <v>162</v>
      </c>
    </row>
    <row r="75" spans="2:14" ht="49.5" customHeight="1" x14ac:dyDescent="0.35">
      <c r="B75" s="488"/>
      <c r="C75" s="55" t="s">
        <v>265</v>
      </c>
      <c r="D75" s="40" t="s">
        <v>266</v>
      </c>
      <c r="E75" s="50" t="s">
        <v>267</v>
      </c>
      <c r="F75" s="40" t="s">
        <v>266</v>
      </c>
      <c r="G75" s="50" t="s">
        <v>267</v>
      </c>
      <c r="H75" s="256" t="s">
        <v>267</v>
      </c>
      <c r="I75" s="50" t="s">
        <v>267</v>
      </c>
      <c r="J75" s="17" t="s">
        <v>268</v>
      </c>
      <c r="K75" s="1" t="s">
        <v>267</v>
      </c>
      <c r="L75" s="50" t="s">
        <v>269</v>
      </c>
      <c r="M75" s="253" t="s">
        <v>162</v>
      </c>
      <c r="N75" s="46" t="s">
        <v>162</v>
      </c>
    </row>
    <row r="76" spans="2:14" ht="58" x14ac:dyDescent="0.35">
      <c r="B76" s="488"/>
      <c r="C76" s="55" t="s">
        <v>270</v>
      </c>
      <c r="D76" s="40" t="s">
        <v>271</v>
      </c>
      <c r="E76" s="50" t="s">
        <v>271</v>
      </c>
      <c r="F76" s="40" t="s">
        <v>271</v>
      </c>
      <c r="G76" s="50" t="s">
        <v>271</v>
      </c>
      <c r="H76" s="40" t="s">
        <v>271</v>
      </c>
      <c r="I76" s="50" t="s">
        <v>271</v>
      </c>
      <c r="J76" s="17" t="s">
        <v>272</v>
      </c>
      <c r="K76" s="1" t="s">
        <v>272</v>
      </c>
      <c r="L76" s="50" t="s">
        <v>272</v>
      </c>
      <c r="M76" s="253" t="s">
        <v>162</v>
      </c>
      <c r="N76" s="46" t="s">
        <v>162</v>
      </c>
    </row>
    <row r="77" spans="2:14" ht="87" x14ac:dyDescent="0.35">
      <c r="B77" s="488"/>
      <c r="C77" s="55" t="s">
        <v>212</v>
      </c>
      <c r="D77" s="40" t="s">
        <v>143</v>
      </c>
      <c r="E77" s="50" t="s">
        <v>143</v>
      </c>
      <c r="F77" s="40" t="s">
        <v>143</v>
      </c>
      <c r="G77" s="50" t="s">
        <v>143</v>
      </c>
      <c r="H77" s="40" t="s">
        <v>143</v>
      </c>
      <c r="I77" s="50" t="s">
        <v>143</v>
      </c>
      <c r="J77" s="17" t="s">
        <v>273</v>
      </c>
      <c r="K77" s="1" t="s">
        <v>273</v>
      </c>
      <c r="L77" s="50" t="s">
        <v>273</v>
      </c>
      <c r="M77" s="253" t="s">
        <v>162</v>
      </c>
      <c r="N77" s="46" t="s">
        <v>162</v>
      </c>
    </row>
    <row r="78" spans="2:14" ht="102" thickBot="1" x14ac:dyDescent="0.4">
      <c r="B78" s="489"/>
      <c r="C78" s="60" t="s">
        <v>274</v>
      </c>
      <c r="D78" s="216" t="s">
        <v>193</v>
      </c>
      <c r="E78" s="140" t="s">
        <v>193</v>
      </c>
      <c r="F78" s="216" t="s">
        <v>193</v>
      </c>
      <c r="G78" s="140" t="s">
        <v>193</v>
      </c>
      <c r="H78" s="216" t="s">
        <v>193</v>
      </c>
      <c r="I78" s="140" t="s">
        <v>193</v>
      </c>
      <c r="J78" s="61" t="s">
        <v>143</v>
      </c>
      <c r="K78" s="62" t="s">
        <v>143</v>
      </c>
      <c r="L78" s="140" t="s">
        <v>275</v>
      </c>
      <c r="M78" s="216" t="s">
        <v>162</v>
      </c>
      <c r="N78" s="140" t="s">
        <v>162</v>
      </c>
    </row>
    <row r="79" spans="2:14" ht="73" thickBot="1" x14ac:dyDescent="0.4">
      <c r="B79" s="133" t="s">
        <v>213</v>
      </c>
      <c r="C79" s="24" t="s">
        <v>276</v>
      </c>
      <c r="D79" s="105" t="s">
        <v>215</v>
      </c>
      <c r="E79" s="49" t="s">
        <v>215</v>
      </c>
      <c r="F79" s="105" t="s">
        <v>277</v>
      </c>
      <c r="G79" s="49" t="s">
        <v>277</v>
      </c>
      <c r="H79" s="105" t="s">
        <v>277</v>
      </c>
      <c r="I79" s="49" t="s">
        <v>277</v>
      </c>
      <c r="J79" s="28" t="s">
        <v>277</v>
      </c>
      <c r="K79" s="63" t="s">
        <v>277</v>
      </c>
      <c r="L79" s="141" t="s">
        <v>277</v>
      </c>
      <c r="M79" s="213" t="s">
        <v>278</v>
      </c>
      <c r="N79" s="52" t="s">
        <v>278</v>
      </c>
    </row>
    <row r="80" spans="2:14" ht="145" x14ac:dyDescent="0.35">
      <c r="B80" s="482" t="s">
        <v>279</v>
      </c>
      <c r="C80" s="25" t="s">
        <v>280</v>
      </c>
      <c r="D80" s="252" t="s">
        <v>281</v>
      </c>
      <c r="E80" s="46" t="s">
        <v>281</v>
      </c>
      <c r="F80" s="252" t="s">
        <v>281</v>
      </c>
      <c r="G80" s="46" t="s">
        <v>281</v>
      </c>
      <c r="H80" s="252" t="s">
        <v>281</v>
      </c>
      <c r="I80" s="46" t="s">
        <v>281</v>
      </c>
      <c r="J80" s="13" t="s">
        <v>281</v>
      </c>
      <c r="K80" s="10" t="s">
        <v>281</v>
      </c>
      <c r="L80" s="54" t="s">
        <v>281</v>
      </c>
      <c r="M80" s="107" t="s">
        <v>281</v>
      </c>
      <c r="N80" s="54" t="s">
        <v>281</v>
      </c>
    </row>
    <row r="81" spans="2:14" ht="87" x14ac:dyDescent="0.35">
      <c r="B81" s="490"/>
      <c r="C81" s="26" t="s">
        <v>282</v>
      </c>
      <c r="D81" s="40" t="s">
        <v>283</v>
      </c>
      <c r="E81" s="50" t="s">
        <v>283</v>
      </c>
      <c r="F81" s="256" t="s">
        <v>284</v>
      </c>
      <c r="G81" s="1" t="s">
        <v>284</v>
      </c>
      <c r="H81" s="256" t="s">
        <v>284</v>
      </c>
      <c r="I81" s="50" t="s">
        <v>284</v>
      </c>
      <c r="J81" s="17" t="s">
        <v>283</v>
      </c>
      <c r="K81" s="1" t="s">
        <v>283</v>
      </c>
      <c r="L81" s="50" t="s">
        <v>283</v>
      </c>
      <c r="M81" s="40" t="s">
        <v>285</v>
      </c>
      <c r="N81" s="50" t="s">
        <v>285</v>
      </c>
    </row>
    <row r="82" spans="2:14" ht="43.5" x14ac:dyDescent="0.35">
      <c r="B82" s="490"/>
      <c r="C82" s="26" t="s">
        <v>286</v>
      </c>
      <c r="D82" s="40" t="s">
        <v>287</v>
      </c>
      <c r="E82" s="50" t="s">
        <v>287</v>
      </c>
      <c r="F82" s="40" t="s">
        <v>288</v>
      </c>
      <c r="G82" s="1" t="s">
        <v>288</v>
      </c>
      <c r="H82" s="40" t="s">
        <v>288</v>
      </c>
      <c r="I82" s="50" t="s">
        <v>288</v>
      </c>
      <c r="J82" s="17" t="s">
        <v>287</v>
      </c>
      <c r="K82" s="1" t="s">
        <v>287</v>
      </c>
      <c r="L82" s="50" t="s">
        <v>287</v>
      </c>
      <c r="M82" s="40" t="s">
        <v>289</v>
      </c>
      <c r="N82" s="50" t="s">
        <v>289</v>
      </c>
    </row>
    <row r="83" spans="2:14" ht="43.5" x14ac:dyDescent="0.35">
      <c r="B83" s="490"/>
      <c r="C83" s="26" t="s">
        <v>290</v>
      </c>
      <c r="D83" s="40" t="s">
        <v>291</v>
      </c>
      <c r="E83" s="50" t="s">
        <v>291</v>
      </c>
      <c r="F83" s="40" t="s">
        <v>291</v>
      </c>
      <c r="G83" s="50" t="s">
        <v>291</v>
      </c>
      <c r="H83" s="40" t="s">
        <v>291</v>
      </c>
      <c r="I83" s="50" t="s">
        <v>291</v>
      </c>
      <c r="J83" s="17" t="s">
        <v>291</v>
      </c>
      <c r="K83" s="1" t="s">
        <v>291</v>
      </c>
      <c r="L83" s="50" t="s">
        <v>291</v>
      </c>
      <c r="M83" s="40" t="s">
        <v>292</v>
      </c>
      <c r="N83" s="50" t="s">
        <v>292</v>
      </c>
    </row>
    <row r="84" spans="2:14" ht="73" thickBot="1" x14ac:dyDescent="0.4">
      <c r="B84" s="483"/>
      <c r="C84" s="23" t="s">
        <v>293</v>
      </c>
      <c r="D84" s="104" t="s">
        <v>294</v>
      </c>
      <c r="E84" s="51" t="s">
        <v>294</v>
      </c>
      <c r="F84" s="104" t="s">
        <v>295</v>
      </c>
      <c r="G84" s="51" t="s">
        <v>295</v>
      </c>
      <c r="H84" s="104" t="s">
        <v>295</v>
      </c>
      <c r="I84" s="51" t="s">
        <v>295</v>
      </c>
      <c r="J84" s="15" t="s">
        <v>295</v>
      </c>
      <c r="K84" s="11" t="s">
        <v>295</v>
      </c>
      <c r="L84" s="51" t="s">
        <v>295</v>
      </c>
      <c r="M84" s="104" t="s">
        <v>295</v>
      </c>
      <c r="N84" s="51" t="s">
        <v>295</v>
      </c>
    </row>
    <row r="85" spans="2:14" ht="58.5" thickBot="1" x14ac:dyDescent="0.4">
      <c r="B85" s="133" t="s">
        <v>296</v>
      </c>
      <c r="C85" s="24" t="s">
        <v>297</v>
      </c>
      <c r="D85" s="213" t="s">
        <v>298</v>
      </c>
      <c r="E85" s="52" t="s">
        <v>298</v>
      </c>
      <c r="F85" s="213" t="s">
        <v>298</v>
      </c>
      <c r="G85" s="52" t="s">
        <v>298</v>
      </c>
      <c r="H85" s="213" t="s">
        <v>298</v>
      </c>
      <c r="I85" s="52" t="s">
        <v>298</v>
      </c>
      <c r="J85" s="16" t="s">
        <v>298</v>
      </c>
      <c r="K85" s="12" t="s">
        <v>298</v>
      </c>
      <c r="L85" s="49" t="s">
        <v>298</v>
      </c>
      <c r="M85" s="105" t="s">
        <v>298</v>
      </c>
      <c r="N85" s="49" t="s">
        <v>298</v>
      </c>
    </row>
    <row r="86" spans="2:14" ht="44" thickBot="1" x14ac:dyDescent="0.4">
      <c r="B86" s="133" t="s">
        <v>299</v>
      </c>
      <c r="C86" s="24" t="s">
        <v>300</v>
      </c>
      <c r="D86" s="105" t="s">
        <v>301</v>
      </c>
      <c r="E86" s="49" t="s">
        <v>301</v>
      </c>
      <c r="F86" s="105" t="s">
        <v>301</v>
      </c>
      <c r="G86" s="49" t="s">
        <v>301</v>
      </c>
      <c r="H86" s="105" t="s">
        <v>301</v>
      </c>
      <c r="I86" s="49" t="s">
        <v>301</v>
      </c>
      <c r="J86" s="16" t="s">
        <v>301</v>
      </c>
      <c r="K86" s="12" t="s">
        <v>301</v>
      </c>
      <c r="L86" s="49" t="s">
        <v>301</v>
      </c>
      <c r="M86" s="105" t="s">
        <v>301</v>
      </c>
      <c r="N86" s="49" t="s">
        <v>301</v>
      </c>
    </row>
    <row r="87" spans="2:14" ht="43.5" x14ac:dyDescent="0.35">
      <c r="B87" s="491" t="s">
        <v>302</v>
      </c>
      <c r="C87" s="25" t="s">
        <v>303</v>
      </c>
      <c r="D87" s="107" t="s">
        <v>304</v>
      </c>
      <c r="E87" s="54" t="s">
        <v>304</v>
      </c>
      <c r="F87" s="107" t="s">
        <v>304</v>
      </c>
      <c r="G87" s="10" t="s">
        <v>304</v>
      </c>
      <c r="H87" s="107" t="s">
        <v>304</v>
      </c>
      <c r="I87" s="54" t="s">
        <v>304</v>
      </c>
      <c r="J87" s="107" t="s">
        <v>304</v>
      </c>
      <c r="K87" s="54" t="s">
        <v>304</v>
      </c>
      <c r="L87" s="54" t="s">
        <v>305</v>
      </c>
      <c r="M87" s="107" t="s">
        <v>162</v>
      </c>
      <c r="N87" s="54" t="s">
        <v>162</v>
      </c>
    </row>
    <row r="88" spans="2:14" ht="73" thickBot="1" x14ac:dyDescent="0.4">
      <c r="B88" s="492"/>
      <c r="C88" s="60" t="s">
        <v>306</v>
      </c>
      <c r="D88" s="253" t="s">
        <v>307</v>
      </c>
      <c r="E88" s="46" t="s">
        <v>307</v>
      </c>
      <c r="F88" s="253" t="s">
        <v>307</v>
      </c>
      <c r="G88" s="29" t="s">
        <v>307</v>
      </c>
      <c r="H88" s="253" t="s">
        <v>307</v>
      </c>
      <c r="I88" s="46" t="s">
        <v>307</v>
      </c>
      <c r="J88" s="253" t="s">
        <v>307</v>
      </c>
      <c r="K88" s="140" t="s">
        <v>307</v>
      </c>
      <c r="L88" s="140" t="s">
        <v>307</v>
      </c>
      <c r="M88" s="228" t="s">
        <v>162</v>
      </c>
      <c r="N88" s="141" t="s">
        <v>162</v>
      </c>
    </row>
    <row r="89" spans="2:14" ht="72.5" x14ac:dyDescent="0.35">
      <c r="B89" s="482" t="s">
        <v>308</v>
      </c>
      <c r="C89" s="20" t="s">
        <v>309</v>
      </c>
      <c r="D89" s="107" t="s">
        <v>310</v>
      </c>
      <c r="E89" s="54" t="s">
        <v>310</v>
      </c>
      <c r="F89" s="107" t="s">
        <v>311</v>
      </c>
      <c r="G89" s="10" t="s">
        <v>311</v>
      </c>
      <c r="H89" s="107" t="s">
        <v>311</v>
      </c>
      <c r="I89" s="54" t="s">
        <v>311</v>
      </c>
      <c r="J89" s="13" t="s">
        <v>312</v>
      </c>
      <c r="K89" s="10" t="s">
        <v>312</v>
      </c>
      <c r="L89" s="54" t="s">
        <v>312</v>
      </c>
      <c r="M89" s="259" t="s">
        <v>313</v>
      </c>
      <c r="N89" s="260" t="s">
        <v>313</v>
      </c>
    </row>
    <row r="90" spans="2:14" ht="116.5" thickBot="1" x14ac:dyDescent="0.4">
      <c r="B90" s="483"/>
      <c r="C90" s="27" t="s">
        <v>314</v>
      </c>
      <c r="D90" s="104" t="s">
        <v>315</v>
      </c>
      <c r="E90" s="51" t="s">
        <v>315</v>
      </c>
      <c r="F90" s="104" t="s">
        <v>315</v>
      </c>
      <c r="G90" s="11" t="s">
        <v>315</v>
      </c>
      <c r="H90" s="104" t="s">
        <v>315</v>
      </c>
      <c r="I90" s="51" t="s">
        <v>315</v>
      </c>
      <c r="J90" s="15" t="s">
        <v>316</v>
      </c>
      <c r="K90" s="11" t="s">
        <v>316</v>
      </c>
      <c r="L90" s="51" t="s">
        <v>316</v>
      </c>
      <c r="M90" s="104" t="s">
        <v>316</v>
      </c>
      <c r="N90" s="51" t="s">
        <v>316</v>
      </c>
    </row>
    <row r="91" spans="2:14" ht="29" x14ac:dyDescent="0.35">
      <c r="B91" s="482" t="s">
        <v>183</v>
      </c>
      <c r="C91" s="20" t="s">
        <v>317</v>
      </c>
      <c r="D91" s="253" t="s">
        <v>318</v>
      </c>
      <c r="E91" s="46" t="s">
        <v>318</v>
      </c>
      <c r="F91" s="253" t="s">
        <v>318</v>
      </c>
      <c r="G91" s="46" t="s">
        <v>318</v>
      </c>
      <c r="H91" s="253" t="s">
        <v>318</v>
      </c>
      <c r="I91" s="46" t="s">
        <v>318</v>
      </c>
      <c r="J91" s="13" t="s">
        <v>318</v>
      </c>
      <c r="K91" s="10" t="s">
        <v>318</v>
      </c>
      <c r="L91" s="54" t="s">
        <v>318</v>
      </c>
      <c r="M91" s="107" t="s">
        <v>318</v>
      </c>
      <c r="N91" s="54" t="s">
        <v>318</v>
      </c>
    </row>
    <row r="92" spans="2:14" ht="29" x14ac:dyDescent="0.35">
      <c r="B92" s="490"/>
      <c r="C92" s="26" t="s">
        <v>319</v>
      </c>
      <c r="D92" s="40" t="s">
        <v>320</v>
      </c>
      <c r="E92" s="50" t="s">
        <v>320</v>
      </c>
      <c r="F92" s="40" t="s">
        <v>320</v>
      </c>
      <c r="G92" s="50" t="s">
        <v>320</v>
      </c>
      <c r="H92" s="40" t="s">
        <v>320</v>
      </c>
      <c r="I92" s="50" t="s">
        <v>320</v>
      </c>
      <c r="J92" s="17" t="s">
        <v>320</v>
      </c>
      <c r="K92" s="1" t="s">
        <v>320</v>
      </c>
      <c r="L92" s="50" t="s">
        <v>320</v>
      </c>
      <c r="M92" s="40" t="s">
        <v>320</v>
      </c>
      <c r="N92" s="50" t="s">
        <v>320</v>
      </c>
    </row>
    <row r="93" spans="2:14" ht="29" x14ac:dyDescent="0.35">
      <c r="B93" s="490"/>
      <c r="C93" s="26" t="s">
        <v>321</v>
      </c>
      <c r="D93" s="40" t="s">
        <v>322</v>
      </c>
      <c r="E93" s="50" t="s">
        <v>322</v>
      </c>
      <c r="F93" s="40" t="s">
        <v>323</v>
      </c>
      <c r="G93" s="1" t="s">
        <v>323</v>
      </c>
      <c r="H93" s="40" t="s">
        <v>323</v>
      </c>
      <c r="I93" s="50" t="s">
        <v>323</v>
      </c>
      <c r="J93" s="17" t="s">
        <v>322</v>
      </c>
      <c r="K93" s="1" t="s">
        <v>322</v>
      </c>
      <c r="L93" s="50" t="s">
        <v>322</v>
      </c>
      <c r="M93" s="40" t="s">
        <v>323</v>
      </c>
      <c r="N93" s="50" t="s">
        <v>323</v>
      </c>
    </row>
    <row r="94" spans="2:14" ht="72.5" x14ac:dyDescent="0.35">
      <c r="B94" s="490"/>
      <c r="C94" s="55" t="s">
        <v>324</v>
      </c>
      <c r="D94" s="40" t="s">
        <v>325</v>
      </c>
      <c r="E94" s="50" t="s">
        <v>325</v>
      </c>
      <c r="F94" s="40" t="s">
        <v>325</v>
      </c>
      <c r="G94" s="50" t="s">
        <v>325</v>
      </c>
      <c r="H94" s="40" t="s">
        <v>325</v>
      </c>
      <c r="I94" s="50" t="s">
        <v>325</v>
      </c>
      <c r="J94" s="17" t="s">
        <v>326</v>
      </c>
      <c r="K94" s="1" t="s">
        <v>327</v>
      </c>
      <c r="L94" s="50" t="s">
        <v>327</v>
      </c>
      <c r="M94" s="40" t="s">
        <v>328</v>
      </c>
      <c r="N94" s="50" t="s">
        <v>328</v>
      </c>
    </row>
    <row r="95" spans="2:14" ht="87" x14ac:dyDescent="0.35">
      <c r="B95" s="490"/>
      <c r="C95" s="26" t="s">
        <v>329</v>
      </c>
      <c r="D95" s="254" t="s">
        <v>330</v>
      </c>
      <c r="E95" s="50" t="s">
        <v>330</v>
      </c>
      <c r="F95" s="254" t="s">
        <v>330</v>
      </c>
      <c r="G95" s="50" t="s">
        <v>330</v>
      </c>
      <c r="H95" s="254" t="s">
        <v>330</v>
      </c>
      <c r="I95" s="50" t="s">
        <v>330</v>
      </c>
      <c r="J95" s="40" t="s">
        <v>331</v>
      </c>
      <c r="K95" s="256" t="s">
        <v>332</v>
      </c>
      <c r="L95" s="256" t="s">
        <v>332</v>
      </c>
      <c r="M95" s="40" t="s">
        <v>332</v>
      </c>
      <c r="N95" s="50" t="s">
        <v>332</v>
      </c>
    </row>
    <row r="96" spans="2:14" ht="73" thickBot="1" x14ac:dyDescent="0.4">
      <c r="B96" s="490"/>
      <c r="C96" s="27" t="s">
        <v>333</v>
      </c>
      <c r="D96" s="255" t="s">
        <v>334</v>
      </c>
      <c r="E96" s="51" t="s">
        <v>334</v>
      </c>
      <c r="F96" s="255" t="s">
        <v>334</v>
      </c>
      <c r="G96" s="51" t="s">
        <v>334</v>
      </c>
      <c r="H96" s="255" t="s">
        <v>334</v>
      </c>
      <c r="I96" s="51" t="s">
        <v>334</v>
      </c>
      <c r="J96" s="104" t="s">
        <v>335</v>
      </c>
      <c r="K96" s="104" t="s">
        <v>335</v>
      </c>
      <c r="L96" s="104" t="s">
        <v>335</v>
      </c>
      <c r="M96" s="104" t="s">
        <v>335</v>
      </c>
      <c r="N96" s="23" t="s">
        <v>335</v>
      </c>
    </row>
    <row r="97" spans="2:15" ht="29" x14ac:dyDescent="0.35">
      <c r="B97" s="482" t="s">
        <v>336</v>
      </c>
      <c r="C97" s="25" t="s">
        <v>337</v>
      </c>
      <c r="D97" s="107" t="s">
        <v>201</v>
      </c>
      <c r="E97" s="54" t="s">
        <v>201</v>
      </c>
      <c r="F97" s="107" t="s">
        <v>201</v>
      </c>
      <c r="G97" s="54" t="s">
        <v>201</v>
      </c>
      <c r="H97" s="107" t="s">
        <v>201</v>
      </c>
      <c r="I97" s="54" t="s">
        <v>201</v>
      </c>
      <c r="J97" s="107" t="s">
        <v>201</v>
      </c>
      <c r="K97" s="258" t="s">
        <v>201</v>
      </c>
      <c r="L97" s="54" t="s">
        <v>201</v>
      </c>
      <c r="M97" s="107" t="s">
        <v>201</v>
      </c>
      <c r="N97" s="54" t="s">
        <v>201</v>
      </c>
    </row>
    <row r="98" spans="2:15" ht="58.5" thickBot="1" x14ac:dyDescent="0.4">
      <c r="B98" s="483"/>
      <c r="C98" s="23" t="s">
        <v>338</v>
      </c>
      <c r="D98" s="216" t="s">
        <v>200</v>
      </c>
      <c r="E98" s="140" t="s">
        <v>200</v>
      </c>
      <c r="F98" s="104" t="s">
        <v>202</v>
      </c>
      <c r="G98" s="11" t="s">
        <v>202</v>
      </c>
      <c r="H98" s="104" t="s">
        <v>202</v>
      </c>
      <c r="I98" s="51" t="s">
        <v>202</v>
      </c>
      <c r="J98" s="104" t="s">
        <v>202</v>
      </c>
      <c r="K98" s="261" t="s">
        <v>202</v>
      </c>
      <c r="L98" s="11" t="s">
        <v>202</v>
      </c>
      <c r="M98" s="104" t="s">
        <v>202</v>
      </c>
      <c r="N98" s="51" t="s">
        <v>202</v>
      </c>
    </row>
    <row r="99" spans="2:15" ht="44" thickBot="1" x14ac:dyDescent="0.4">
      <c r="B99" s="133" t="s">
        <v>225</v>
      </c>
      <c r="C99" s="24" t="s">
        <v>339</v>
      </c>
      <c r="D99" s="216" t="s">
        <v>340</v>
      </c>
      <c r="E99" s="140" t="s">
        <v>340</v>
      </c>
      <c r="F99" s="105" t="s">
        <v>196</v>
      </c>
      <c r="G99" s="49" t="s">
        <v>341</v>
      </c>
      <c r="H99" s="105" t="s">
        <v>196</v>
      </c>
      <c r="I99" s="49" t="s">
        <v>341</v>
      </c>
      <c r="J99" s="216" t="s">
        <v>340</v>
      </c>
      <c r="K99" s="262" t="s">
        <v>340</v>
      </c>
      <c r="L99" s="142" t="s">
        <v>340</v>
      </c>
      <c r="M99" s="216" t="s">
        <v>342</v>
      </c>
      <c r="N99" s="140" t="s">
        <v>342</v>
      </c>
    </row>
    <row r="100" spans="2:15" ht="14.5" x14ac:dyDescent="0.35">
      <c r="B100" s="201"/>
      <c r="C100" s="165"/>
      <c r="D100" s="165"/>
      <c r="E100" s="165"/>
      <c r="F100" s="165"/>
      <c r="G100" s="165"/>
      <c r="H100" s="200"/>
      <c r="I100" s="200"/>
      <c r="J100" s="165"/>
      <c r="K100" s="165"/>
      <c r="L100" s="165"/>
      <c r="M100" s="165"/>
      <c r="N100" s="165"/>
    </row>
    <row r="101" spans="2:15" ht="14.5" x14ac:dyDescent="0.35">
      <c r="B101" s="201"/>
      <c r="C101" s="165"/>
      <c r="D101" s="165"/>
      <c r="E101" s="165"/>
      <c r="F101" s="165"/>
      <c r="G101" s="165"/>
      <c r="H101" s="200"/>
      <c r="I101" s="200"/>
      <c r="J101" s="165"/>
      <c r="K101" s="165"/>
      <c r="L101" s="165"/>
      <c r="M101" s="165"/>
      <c r="N101" s="165"/>
    </row>
    <row r="102" spans="2:15" ht="24" thickBot="1" x14ac:dyDescent="0.6">
      <c r="B102" s="222" t="s">
        <v>100</v>
      </c>
      <c r="C102" s="263"/>
      <c r="D102" s="263"/>
      <c r="E102" s="263"/>
      <c r="F102" s="263"/>
      <c r="G102" s="263"/>
      <c r="H102" s="190"/>
      <c r="I102" s="190"/>
      <c r="J102" s="263"/>
      <c r="K102" s="263"/>
      <c r="L102" s="263"/>
      <c r="M102" s="263"/>
      <c r="N102" s="263"/>
      <c r="O102" s="212"/>
    </row>
    <row r="103" spans="2:15" ht="15.5" x14ac:dyDescent="0.35">
      <c r="B103" s="223"/>
      <c r="C103" s="165"/>
      <c r="D103" s="165"/>
      <c r="E103" s="165"/>
      <c r="F103" s="165"/>
      <c r="G103" s="165"/>
      <c r="H103" s="200"/>
      <c r="I103" s="200"/>
      <c r="J103" s="165"/>
      <c r="K103" s="165"/>
      <c r="L103" s="165"/>
      <c r="M103" s="165"/>
      <c r="N103" s="165"/>
    </row>
    <row r="104" spans="2:15" ht="15.75" customHeight="1" thickBot="1" x14ac:dyDescent="0.4"/>
    <row r="105" spans="2:15" ht="19.5" customHeight="1" thickBot="1" x14ac:dyDescent="0.4">
      <c r="D105" s="493" t="s">
        <v>16</v>
      </c>
      <c r="E105" s="494"/>
      <c r="F105" s="494"/>
      <c r="G105" s="494"/>
      <c r="H105" s="494"/>
      <c r="I105" s="495"/>
      <c r="J105" s="496" t="s">
        <v>20</v>
      </c>
      <c r="K105" s="497"/>
      <c r="L105" s="497"/>
      <c r="M105" s="497"/>
    </row>
    <row r="106" spans="2:15" ht="36" customHeight="1" thickBot="1" x14ac:dyDescent="0.4">
      <c r="C106" s="118" t="s">
        <v>204</v>
      </c>
      <c r="D106" s="499" t="s">
        <v>109</v>
      </c>
      <c r="E106" s="500"/>
      <c r="F106" s="499" t="s">
        <v>82</v>
      </c>
      <c r="G106" s="500"/>
      <c r="H106" s="499" t="s">
        <v>228</v>
      </c>
      <c r="I106" s="500"/>
      <c r="J106" s="501" t="s">
        <v>229</v>
      </c>
      <c r="K106" s="502"/>
      <c r="L106" s="503"/>
      <c r="M106" s="264" t="s">
        <v>113</v>
      </c>
    </row>
    <row r="107" spans="2:15" ht="15" thickBot="1" x14ac:dyDescent="0.4">
      <c r="C107" s="32" t="s">
        <v>114</v>
      </c>
      <c r="D107" s="206" t="s">
        <v>118</v>
      </c>
      <c r="E107" s="207" t="s">
        <v>117</v>
      </c>
      <c r="F107" s="206" t="s">
        <v>118</v>
      </c>
      <c r="G107" s="232" t="s">
        <v>117</v>
      </c>
      <c r="H107" s="206" t="s">
        <v>118</v>
      </c>
      <c r="I107" s="232" t="s">
        <v>117</v>
      </c>
      <c r="J107" s="233" t="s">
        <v>118</v>
      </c>
      <c r="K107" s="233" t="s">
        <v>117</v>
      </c>
      <c r="L107" s="265" t="s">
        <v>343</v>
      </c>
      <c r="M107" s="276" t="s">
        <v>117</v>
      </c>
    </row>
    <row r="108" spans="2:15" ht="15" thickBot="1" x14ac:dyDescent="0.4">
      <c r="C108" s="279" t="s">
        <v>232</v>
      </c>
      <c r="D108" s="273" t="s">
        <v>233</v>
      </c>
      <c r="E108" s="274" t="s">
        <v>233</v>
      </c>
      <c r="F108" s="275" t="s">
        <v>233</v>
      </c>
      <c r="G108" s="274" t="s">
        <v>233</v>
      </c>
      <c r="H108" s="275" t="s">
        <v>233</v>
      </c>
      <c r="I108" s="274" t="s">
        <v>233</v>
      </c>
      <c r="J108" s="275" t="s">
        <v>233</v>
      </c>
      <c r="K108" s="277" t="s">
        <v>233</v>
      </c>
      <c r="L108" s="274" t="s">
        <v>234</v>
      </c>
      <c r="M108" s="274" t="s">
        <v>233</v>
      </c>
    </row>
    <row r="109" spans="2:15" ht="58.5" thickBot="1" x14ac:dyDescent="0.4">
      <c r="C109" s="278" t="s">
        <v>235</v>
      </c>
      <c r="D109" s="266" t="s">
        <v>344</v>
      </c>
      <c r="E109" s="267" t="s">
        <v>237</v>
      </c>
      <c r="F109" s="268" t="s">
        <v>344</v>
      </c>
      <c r="G109" s="267" t="s">
        <v>237</v>
      </c>
      <c r="H109" s="268" t="s">
        <v>344</v>
      </c>
      <c r="I109" s="267" t="s">
        <v>237</v>
      </c>
      <c r="J109" s="269" t="s">
        <v>238</v>
      </c>
      <c r="K109" s="270" t="s">
        <v>345</v>
      </c>
      <c r="L109" s="271" t="s">
        <v>346</v>
      </c>
      <c r="M109" s="272" t="s">
        <v>130</v>
      </c>
    </row>
    <row r="110" spans="2:15" ht="15" thickBot="1" x14ac:dyDescent="0.4">
      <c r="B110" s="139" t="s">
        <v>131</v>
      </c>
      <c r="C110" s="242" t="s">
        <v>132</v>
      </c>
      <c r="D110" s="484" t="s">
        <v>347</v>
      </c>
      <c r="E110" s="485"/>
      <c r="F110" s="485"/>
      <c r="G110" s="485"/>
      <c r="H110" s="485"/>
      <c r="I110" s="485"/>
      <c r="J110" s="485"/>
      <c r="K110" s="485"/>
      <c r="L110" s="485"/>
      <c r="M110" s="486"/>
    </row>
    <row r="111" spans="2:15" ht="58.5" thickBot="1" x14ac:dyDescent="0.4">
      <c r="B111" s="133" t="s">
        <v>242</v>
      </c>
      <c r="C111" s="56" t="s">
        <v>243</v>
      </c>
      <c r="D111" s="122" t="s">
        <v>245</v>
      </c>
      <c r="E111" s="58" t="s">
        <v>245</v>
      </c>
      <c r="F111" s="122" t="s">
        <v>245</v>
      </c>
      <c r="G111" s="58" t="s">
        <v>245</v>
      </c>
      <c r="H111" s="57" t="s">
        <v>245</v>
      </c>
      <c r="I111" s="58" t="s">
        <v>245</v>
      </c>
      <c r="J111" s="57" t="s">
        <v>246</v>
      </c>
      <c r="K111" s="151" t="s">
        <v>247</v>
      </c>
      <c r="L111" s="58" t="s">
        <v>248</v>
      </c>
      <c r="M111" s="155" t="s">
        <v>348</v>
      </c>
    </row>
    <row r="112" spans="2:15" ht="58" x14ac:dyDescent="0.35">
      <c r="B112" s="487" t="s">
        <v>249</v>
      </c>
      <c r="C112" s="22" t="s">
        <v>349</v>
      </c>
      <c r="D112" s="102" t="s">
        <v>350</v>
      </c>
      <c r="E112" s="124" t="s">
        <v>254</v>
      </c>
      <c r="F112" s="102" t="s">
        <v>350</v>
      </c>
      <c r="G112" s="124" t="s">
        <v>254</v>
      </c>
      <c r="H112" s="102" t="s">
        <v>350</v>
      </c>
      <c r="I112" s="124" t="s">
        <v>137</v>
      </c>
      <c r="J112" s="111" t="s">
        <v>255</v>
      </c>
      <c r="K112" s="146" t="s">
        <v>256</v>
      </c>
      <c r="L112" s="124" t="s">
        <v>257</v>
      </c>
      <c r="M112" s="22" t="s">
        <v>137</v>
      </c>
    </row>
    <row r="113" spans="2:13" ht="29" x14ac:dyDescent="0.35">
      <c r="B113" s="488"/>
      <c r="C113" s="21" t="s">
        <v>351</v>
      </c>
      <c r="D113" s="103" t="s">
        <v>260</v>
      </c>
      <c r="E113" s="47" t="s">
        <v>260</v>
      </c>
      <c r="F113" s="103" t="s">
        <v>260</v>
      </c>
      <c r="G113" s="47" t="s">
        <v>260</v>
      </c>
      <c r="H113" s="103" t="s">
        <v>260</v>
      </c>
      <c r="I113" s="47" t="s">
        <v>260</v>
      </c>
      <c r="J113" s="14" t="s">
        <v>260</v>
      </c>
      <c r="K113" s="2" t="s">
        <v>260</v>
      </c>
      <c r="L113" s="47" t="s">
        <v>260</v>
      </c>
      <c r="M113" s="21" t="s">
        <v>260</v>
      </c>
    </row>
    <row r="114" spans="2:13" ht="72.5" x14ac:dyDescent="0.35">
      <c r="B114" s="488"/>
      <c r="C114" s="152" t="s">
        <v>352</v>
      </c>
      <c r="D114" s="103" t="s">
        <v>353</v>
      </c>
      <c r="E114" s="47" t="s">
        <v>353</v>
      </c>
      <c r="F114" s="103" t="s">
        <v>353</v>
      </c>
      <c r="G114" s="47" t="s">
        <v>353</v>
      </c>
      <c r="H114" s="103" t="s">
        <v>353</v>
      </c>
      <c r="I114" s="47" t="s">
        <v>353</v>
      </c>
      <c r="J114" s="14" t="s">
        <v>353</v>
      </c>
      <c r="K114" s="2" t="s">
        <v>353</v>
      </c>
      <c r="L114" s="47" t="s">
        <v>353</v>
      </c>
      <c r="M114" s="21" t="s">
        <v>354</v>
      </c>
    </row>
    <row r="115" spans="2:13" ht="29" x14ac:dyDescent="0.35">
      <c r="B115" s="488"/>
      <c r="C115" s="21" t="s">
        <v>355</v>
      </c>
      <c r="D115" s="103" t="s">
        <v>356</v>
      </c>
      <c r="E115" s="47" t="s">
        <v>356</v>
      </c>
      <c r="F115" s="103" t="s">
        <v>356</v>
      </c>
      <c r="G115" s="47" t="s">
        <v>356</v>
      </c>
      <c r="H115" s="103" t="s">
        <v>356</v>
      </c>
      <c r="I115" s="47" t="s">
        <v>356</v>
      </c>
      <c r="J115" s="14" t="s">
        <v>357</v>
      </c>
      <c r="K115" s="2" t="s">
        <v>357</v>
      </c>
      <c r="L115" s="47" t="s">
        <v>357</v>
      </c>
      <c r="M115" s="21" t="s">
        <v>193</v>
      </c>
    </row>
    <row r="116" spans="2:13" ht="43.5" x14ac:dyDescent="0.35">
      <c r="B116" s="488"/>
      <c r="C116" s="21" t="s">
        <v>358</v>
      </c>
      <c r="D116" s="103" t="s">
        <v>266</v>
      </c>
      <c r="E116" s="47" t="s">
        <v>267</v>
      </c>
      <c r="F116" s="103" t="s">
        <v>193</v>
      </c>
      <c r="G116" s="47" t="s">
        <v>193</v>
      </c>
      <c r="H116" s="103" t="s">
        <v>193</v>
      </c>
      <c r="I116" s="47" t="s">
        <v>193</v>
      </c>
      <c r="J116" s="14" t="s">
        <v>268</v>
      </c>
      <c r="K116" s="2" t="s">
        <v>267</v>
      </c>
      <c r="L116" s="47" t="s">
        <v>269</v>
      </c>
      <c r="M116" s="21" t="s">
        <v>193</v>
      </c>
    </row>
    <row r="117" spans="2:13" ht="29" x14ac:dyDescent="0.35">
      <c r="B117" s="488"/>
      <c r="C117" s="21" t="s">
        <v>359</v>
      </c>
      <c r="D117" s="103" t="s">
        <v>193</v>
      </c>
      <c r="E117" s="47" t="s">
        <v>193</v>
      </c>
      <c r="F117" s="103" t="s">
        <v>193</v>
      </c>
      <c r="G117" s="47" t="s">
        <v>193</v>
      </c>
      <c r="H117" s="103" t="s">
        <v>193</v>
      </c>
      <c r="I117" s="47" t="s">
        <v>193</v>
      </c>
      <c r="J117" s="14" t="s">
        <v>193</v>
      </c>
      <c r="K117" s="2" t="s">
        <v>193</v>
      </c>
      <c r="L117" s="47" t="s">
        <v>193</v>
      </c>
      <c r="M117" s="21" t="s">
        <v>193</v>
      </c>
    </row>
    <row r="118" spans="2:13" ht="29" x14ac:dyDescent="0.35">
      <c r="B118" s="488"/>
      <c r="C118" s="21" t="s">
        <v>360</v>
      </c>
      <c r="D118" s="103" t="s">
        <v>193</v>
      </c>
      <c r="E118" s="47" t="s">
        <v>193</v>
      </c>
      <c r="F118" s="103" t="s">
        <v>193</v>
      </c>
      <c r="G118" s="47" t="s">
        <v>193</v>
      </c>
      <c r="H118" s="103" t="s">
        <v>193</v>
      </c>
      <c r="I118" s="47" t="s">
        <v>193</v>
      </c>
      <c r="J118" s="14" t="s">
        <v>193</v>
      </c>
      <c r="K118" s="2" t="s">
        <v>193</v>
      </c>
      <c r="L118" s="47" t="s">
        <v>193</v>
      </c>
      <c r="M118" s="21" t="s">
        <v>193</v>
      </c>
    </row>
    <row r="119" spans="2:13" ht="58.5" thickBot="1" x14ac:dyDescent="0.4">
      <c r="B119" s="489"/>
      <c r="C119" s="44" t="s">
        <v>361</v>
      </c>
      <c r="D119" s="112" t="s">
        <v>193</v>
      </c>
      <c r="E119" s="112" t="s">
        <v>193</v>
      </c>
      <c r="F119" s="112" t="s">
        <v>193</v>
      </c>
      <c r="G119" s="112" t="s">
        <v>193</v>
      </c>
      <c r="H119" s="112" t="s">
        <v>193</v>
      </c>
      <c r="I119" s="112" t="s">
        <v>193</v>
      </c>
      <c r="J119" s="112" t="s">
        <v>193</v>
      </c>
      <c r="K119" s="150" t="s">
        <v>193</v>
      </c>
      <c r="L119" s="143" t="s">
        <v>193</v>
      </c>
      <c r="M119" s="202" t="s">
        <v>193</v>
      </c>
    </row>
    <row r="120" spans="2:13" ht="73" thickBot="1" x14ac:dyDescent="0.4">
      <c r="B120" s="133" t="s">
        <v>213</v>
      </c>
      <c r="C120" s="155" t="s">
        <v>362</v>
      </c>
      <c r="D120" s="113" t="s">
        <v>215</v>
      </c>
      <c r="E120" s="288" t="s">
        <v>215</v>
      </c>
      <c r="F120" s="57" t="s">
        <v>277</v>
      </c>
      <c r="G120" s="58" t="s">
        <v>277</v>
      </c>
      <c r="H120" s="57" t="s">
        <v>277</v>
      </c>
      <c r="I120" s="58" t="s">
        <v>277</v>
      </c>
      <c r="J120" s="148" t="s">
        <v>277</v>
      </c>
      <c r="K120" s="148" t="s">
        <v>277</v>
      </c>
      <c r="L120" s="149" t="s">
        <v>277</v>
      </c>
      <c r="M120" s="155" t="s">
        <v>278</v>
      </c>
    </row>
    <row r="121" spans="2:13" ht="145" x14ac:dyDescent="0.35">
      <c r="B121" s="482" t="s">
        <v>279</v>
      </c>
      <c r="C121" s="22" t="s">
        <v>363</v>
      </c>
      <c r="D121" s="280" t="s">
        <v>281</v>
      </c>
      <c r="E121" s="45" t="s">
        <v>281</v>
      </c>
      <c r="F121" s="280" t="s">
        <v>281</v>
      </c>
      <c r="G121" s="124" t="s">
        <v>281</v>
      </c>
      <c r="H121" s="103" t="s">
        <v>193</v>
      </c>
      <c r="I121" s="146" t="s">
        <v>193</v>
      </c>
      <c r="J121" s="102" t="s">
        <v>281</v>
      </c>
      <c r="K121" s="282" t="s">
        <v>281</v>
      </c>
      <c r="L121" s="124" t="s">
        <v>281</v>
      </c>
      <c r="M121" s="22" t="s">
        <v>281</v>
      </c>
    </row>
    <row r="122" spans="2:13" ht="29" x14ac:dyDescent="0.35">
      <c r="B122" s="490"/>
      <c r="C122" s="153" t="s">
        <v>364</v>
      </c>
      <c r="D122" s="103" t="s">
        <v>365</v>
      </c>
      <c r="E122" s="2" t="s">
        <v>365</v>
      </c>
      <c r="F122" s="103" t="s">
        <v>365</v>
      </c>
      <c r="G122" s="2" t="s">
        <v>365</v>
      </c>
      <c r="H122" s="103" t="s">
        <v>365</v>
      </c>
      <c r="I122" s="2" t="s">
        <v>365</v>
      </c>
      <c r="J122" s="174" t="s">
        <v>365</v>
      </c>
      <c r="K122" s="289" t="s">
        <v>365</v>
      </c>
      <c r="L122" s="290" t="s">
        <v>365</v>
      </c>
      <c r="M122" s="21" t="s">
        <v>193</v>
      </c>
    </row>
    <row r="123" spans="2:13" ht="14.5" x14ac:dyDescent="0.35">
      <c r="B123" s="490"/>
      <c r="C123" s="153" t="s">
        <v>286</v>
      </c>
      <c r="D123" s="103" t="s">
        <v>193</v>
      </c>
      <c r="E123" s="47" t="s">
        <v>193</v>
      </c>
      <c r="F123" s="103" t="s">
        <v>193</v>
      </c>
      <c r="G123" s="2" t="s">
        <v>193</v>
      </c>
      <c r="H123" s="103" t="s">
        <v>193</v>
      </c>
      <c r="I123" s="2" t="s">
        <v>193</v>
      </c>
      <c r="J123" s="103" t="s">
        <v>193</v>
      </c>
      <c r="K123" s="283" t="s">
        <v>193</v>
      </c>
      <c r="L123" s="47" t="s">
        <v>193</v>
      </c>
      <c r="M123" s="21" t="s">
        <v>193</v>
      </c>
    </row>
    <row r="124" spans="2:13" ht="14.5" x14ac:dyDescent="0.35">
      <c r="B124" s="490"/>
      <c r="C124" s="153" t="s">
        <v>290</v>
      </c>
      <c r="D124" s="103" t="s">
        <v>193</v>
      </c>
      <c r="E124" s="47" t="s">
        <v>193</v>
      </c>
      <c r="F124" s="103" t="s">
        <v>193</v>
      </c>
      <c r="G124" s="2" t="s">
        <v>193</v>
      </c>
      <c r="H124" s="103" t="s">
        <v>193</v>
      </c>
      <c r="I124" s="2" t="s">
        <v>193</v>
      </c>
      <c r="J124" s="103" t="s">
        <v>193</v>
      </c>
      <c r="K124" s="283" t="s">
        <v>193</v>
      </c>
      <c r="L124" s="47" t="s">
        <v>193</v>
      </c>
      <c r="M124" s="21" t="s">
        <v>193</v>
      </c>
    </row>
    <row r="125" spans="2:13" ht="58.5" thickBot="1" x14ac:dyDescent="0.4">
      <c r="B125" s="483"/>
      <c r="C125" s="154" t="s">
        <v>366</v>
      </c>
      <c r="D125" s="173" t="s">
        <v>295</v>
      </c>
      <c r="E125" s="126" t="s">
        <v>295</v>
      </c>
      <c r="F125" s="173" t="s">
        <v>295</v>
      </c>
      <c r="G125" s="126" t="s">
        <v>295</v>
      </c>
      <c r="H125" s="173" t="s">
        <v>295</v>
      </c>
      <c r="I125" s="126" t="s">
        <v>295</v>
      </c>
      <c r="J125" s="281" t="s">
        <v>295</v>
      </c>
      <c r="K125" s="284" t="s">
        <v>295</v>
      </c>
      <c r="L125" s="158" t="s">
        <v>295</v>
      </c>
      <c r="M125" s="154" t="s">
        <v>295</v>
      </c>
    </row>
    <row r="126" spans="2:13" ht="58.5" thickBot="1" x14ac:dyDescent="0.4">
      <c r="B126" s="133" t="s">
        <v>296</v>
      </c>
      <c r="C126" s="24" t="s">
        <v>297</v>
      </c>
      <c r="D126" s="122" t="s">
        <v>367</v>
      </c>
      <c r="E126" s="151" t="s">
        <v>367</v>
      </c>
      <c r="F126" s="122" t="s">
        <v>367</v>
      </c>
      <c r="G126" s="151" t="s">
        <v>367</v>
      </c>
      <c r="H126" s="122" t="s">
        <v>367</v>
      </c>
      <c r="I126" s="151" t="s">
        <v>367</v>
      </c>
      <c r="J126" s="122" t="s">
        <v>367</v>
      </c>
      <c r="K126" s="285" t="s">
        <v>367</v>
      </c>
      <c r="L126" s="58" t="s">
        <v>367</v>
      </c>
      <c r="M126" s="155" t="s">
        <v>368</v>
      </c>
    </row>
    <row r="127" spans="2:13" ht="44" thickBot="1" x14ac:dyDescent="0.4">
      <c r="B127" s="133" t="s">
        <v>299</v>
      </c>
      <c r="C127" s="155" t="s">
        <v>369</v>
      </c>
      <c r="D127" s="122" t="s">
        <v>301</v>
      </c>
      <c r="E127" s="58" t="s">
        <v>301</v>
      </c>
      <c r="F127" s="122" t="s">
        <v>301</v>
      </c>
      <c r="G127" s="58" t="s">
        <v>301</v>
      </c>
      <c r="H127" s="122" t="s">
        <v>301</v>
      </c>
      <c r="I127" s="58" t="s">
        <v>301</v>
      </c>
      <c r="J127" s="44" t="s">
        <v>301</v>
      </c>
      <c r="K127" s="286" t="s">
        <v>301</v>
      </c>
      <c r="L127" s="143" t="s">
        <v>301</v>
      </c>
      <c r="M127" s="155" t="s">
        <v>301</v>
      </c>
    </row>
    <row r="128" spans="2:13" ht="14.5" x14ac:dyDescent="0.35">
      <c r="B128" s="491" t="s">
        <v>302</v>
      </c>
      <c r="C128" s="22" t="s">
        <v>370</v>
      </c>
      <c r="D128" s="129" t="s">
        <v>193</v>
      </c>
      <c r="E128" s="45" t="s">
        <v>193</v>
      </c>
      <c r="F128" s="129" t="s">
        <v>193</v>
      </c>
      <c r="G128" s="45" t="s">
        <v>193</v>
      </c>
      <c r="H128" s="129" t="s">
        <v>193</v>
      </c>
      <c r="I128" s="45" t="s">
        <v>193</v>
      </c>
      <c r="J128" s="102" t="s">
        <v>193</v>
      </c>
      <c r="K128" s="282" t="s">
        <v>193</v>
      </c>
      <c r="L128" s="124" t="s">
        <v>193</v>
      </c>
      <c r="M128" s="22" t="s">
        <v>193</v>
      </c>
    </row>
    <row r="129" spans="2:15" ht="15" thickBot="1" x14ac:dyDescent="0.4">
      <c r="B129" s="492"/>
      <c r="C129" s="154" t="s">
        <v>371</v>
      </c>
      <c r="D129" s="281" t="s">
        <v>193</v>
      </c>
      <c r="E129" s="158" t="s">
        <v>193</v>
      </c>
      <c r="F129" s="281" t="s">
        <v>193</v>
      </c>
      <c r="G129" s="158" t="s">
        <v>193</v>
      </c>
      <c r="H129" s="281" t="s">
        <v>193</v>
      </c>
      <c r="I129" s="158" t="s">
        <v>193</v>
      </c>
      <c r="J129" s="173" t="s">
        <v>193</v>
      </c>
      <c r="K129" s="287" t="s">
        <v>193</v>
      </c>
      <c r="L129" s="126" t="s">
        <v>193</v>
      </c>
      <c r="M129" s="154" t="s">
        <v>193</v>
      </c>
    </row>
    <row r="130" spans="2:15" ht="14.5" x14ac:dyDescent="0.35">
      <c r="B130" s="482" t="s">
        <v>308</v>
      </c>
      <c r="C130" s="34" t="s">
        <v>309</v>
      </c>
      <c r="D130" s="102" t="s">
        <v>312</v>
      </c>
      <c r="E130" s="124" t="s">
        <v>312</v>
      </c>
      <c r="F130" s="102" t="s">
        <v>312</v>
      </c>
      <c r="G130" s="124" t="s">
        <v>312</v>
      </c>
      <c r="H130" s="102" t="s">
        <v>312</v>
      </c>
      <c r="I130" s="124" t="s">
        <v>312</v>
      </c>
      <c r="J130" s="102" t="s">
        <v>372</v>
      </c>
      <c r="K130" s="282" t="s">
        <v>312</v>
      </c>
      <c r="L130" s="282" t="s">
        <v>312</v>
      </c>
      <c r="M130" s="175" t="s">
        <v>373</v>
      </c>
    </row>
    <row r="131" spans="2:15" ht="58.5" thickBot="1" x14ac:dyDescent="0.4">
      <c r="B131" s="483"/>
      <c r="C131" s="156" t="s">
        <v>314</v>
      </c>
      <c r="D131" s="173" t="s">
        <v>316</v>
      </c>
      <c r="E131" s="126" t="s">
        <v>316</v>
      </c>
      <c r="F131" s="281" t="s">
        <v>316</v>
      </c>
      <c r="G131" s="158" t="s">
        <v>316</v>
      </c>
      <c r="H131" s="281" t="s">
        <v>316</v>
      </c>
      <c r="I131" s="158" t="s">
        <v>316</v>
      </c>
      <c r="J131" s="281" t="s">
        <v>316</v>
      </c>
      <c r="K131" s="284" t="s">
        <v>316</v>
      </c>
      <c r="L131" s="158" t="s">
        <v>316</v>
      </c>
      <c r="M131" s="157" t="s">
        <v>316</v>
      </c>
    </row>
    <row r="132" spans="2:15" ht="29" x14ac:dyDescent="0.35">
      <c r="B132" s="482" t="s">
        <v>183</v>
      </c>
      <c r="C132" s="34" t="s">
        <v>374</v>
      </c>
      <c r="D132" s="129" t="s">
        <v>318</v>
      </c>
      <c r="E132" s="45" t="s">
        <v>318</v>
      </c>
      <c r="F132" s="102" t="s">
        <v>318</v>
      </c>
      <c r="G132" s="124" t="s">
        <v>318</v>
      </c>
      <c r="H132" s="102" t="s">
        <v>318</v>
      </c>
      <c r="I132" s="124" t="s">
        <v>318</v>
      </c>
      <c r="J132" s="102" t="s">
        <v>318</v>
      </c>
      <c r="K132" s="282" t="s">
        <v>318</v>
      </c>
      <c r="L132" s="282" t="s">
        <v>318</v>
      </c>
      <c r="M132" s="282" t="s">
        <v>318</v>
      </c>
    </row>
    <row r="133" spans="2:15" ht="29" x14ac:dyDescent="0.35">
      <c r="B133" s="490"/>
      <c r="C133" s="153" t="s">
        <v>375</v>
      </c>
      <c r="D133" s="103" t="s">
        <v>376</v>
      </c>
      <c r="E133" s="2" t="s">
        <v>376</v>
      </c>
      <c r="F133" s="103" t="s">
        <v>376</v>
      </c>
      <c r="G133" s="47" t="s">
        <v>376</v>
      </c>
      <c r="H133" s="103" t="s">
        <v>376</v>
      </c>
      <c r="I133" s="47" t="s">
        <v>376</v>
      </c>
      <c r="J133" s="103" t="s">
        <v>377</v>
      </c>
      <c r="K133" s="283" t="s">
        <v>377</v>
      </c>
      <c r="L133" s="47" t="s">
        <v>377</v>
      </c>
      <c r="M133" s="21" t="s">
        <v>377</v>
      </c>
    </row>
    <row r="134" spans="2:15" ht="29" x14ac:dyDescent="0.35">
      <c r="B134" s="490"/>
      <c r="C134" s="153" t="s">
        <v>378</v>
      </c>
      <c r="D134" s="103" t="s">
        <v>193</v>
      </c>
      <c r="E134" s="47" t="s">
        <v>193</v>
      </c>
      <c r="F134" s="103" t="s">
        <v>193</v>
      </c>
      <c r="G134" s="47" t="s">
        <v>193</v>
      </c>
      <c r="H134" s="103" t="s">
        <v>193</v>
      </c>
      <c r="I134" s="47" t="s">
        <v>193</v>
      </c>
      <c r="J134" s="103" t="s">
        <v>193</v>
      </c>
      <c r="K134" s="283" t="s">
        <v>193</v>
      </c>
      <c r="L134" s="47" t="s">
        <v>193</v>
      </c>
      <c r="M134" s="21" t="s">
        <v>193</v>
      </c>
    </row>
    <row r="135" spans="2:15" ht="43.5" x14ac:dyDescent="0.35">
      <c r="B135" s="490"/>
      <c r="C135" s="21" t="s">
        <v>379</v>
      </c>
      <c r="D135" s="103" t="s">
        <v>193</v>
      </c>
      <c r="E135" s="47" t="s">
        <v>193</v>
      </c>
      <c r="F135" s="103" t="s">
        <v>193</v>
      </c>
      <c r="G135" s="47" t="s">
        <v>193</v>
      </c>
      <c r="H135" s="103" t="s">
        <v>193</v>
      </c>
      <c r="I135" s="47" t="s">
        <v>193</v>
      </c>
      <c r="J135" s="103" t="s">
        <v>193</v>
      </c>
      <c r="K135" s="283" t="s">
        <v>193</v>
      </c>
      <c r="L135" s="47" t="s">
        <v>193</v>
      </c>
      <c r="M135" s="21" t="s">
        <v>193</v>
      </c>
    </row>
    <row r="136" spans="2:15" ht="14.5" x14ac:dyDescent="0.35">
      <c r="B136" s="490"/>
      <c r="C136" s="153" t="s">
        <v>329</v>
      </c>
      <c r="D136" s="103" t="s">
        <v>193</v>
      </c>
      <c r="E136" s="47" t="s">
        <v>193</v>
      </c>
      <c r="F136" s="103" t="s">
        <v>193</v>
      </c>
      <c r="G136" s="47" t="s">
        <v>193</v>
      </c>
      <c r="H136" s="103" t="s">
        <v>193</v>
      </c>
      <c r="I136" s="47" t="s">
        <v>193</v>
      </c>
      <c r="J136" s="103" t="s">
        <v>193</v>
      </c>
      <c r="K136" s="283" t="s">
        <v>193</v>
      </c>
      <c r="L136" s="47" t="s">
        <v>193</v>
      </c>
      <c r="M136" s="21" t="s">
        <v>193</v>
      </c>
    </row>
    <row r="137" spans="2:15" ht="73" thickBot="1" x14ac:dyDescent="0.4">
      <c r="B137" s="490"/>
      <c r="C137" s="156" t="s">
        <v>333</v>
      </c>
      <c r="D137" s="173" t="s">
        <v>380</v>
      </c>
      <c r="E137" s="126" t="s">
        <v>380</v>
      </c>
      <c r="F137" s="173" t="s">
        <v>380</v>
      </c>
      <c r="G137" s="126" t="s">
        <v>380</v>
      </c>
      <c r="H137" s="173" t="s">
        <v>380</v>
      </c>
      <c r="I137" s="126" t="s">
        <v>380</v>
      </c>
      <c r="J137" s="173" t="s">
        <v>335</v>
      </c>
      <c r="K137" s="287" t="s">
        <v>335</v>
      </c>
      <c r="L137" s="126" t="s">
        <v>335</v>
      </c>
      <c r="M137" s="154" t="s">
        <v>335</v>
      </c>
    </row>
    <row r="138" spans="2:15" ht="29" x14ac:dyDescent="0.35">
      <c r="B138" s="482" t="s">
        <v>336</v>
      </c>
      <c r="C138" s="22" t="s">
        <v>337</v>
      </c>
      <c r="D138" s="102" t="s">
        <v>201</v>
      </c>
      <c r="E138" s="124" t="s">
        <v>201</v>
      </c>
      <c r="F138" s="129" t="s">
        <v>201</v>
      </c>
      <c r="G138" s="45" t="s">
        <v>201</v>
      </c>
      <c r="H138" s="129" t="s">
        <v>201</v>
      </c>
      <c r="I138" s="45" t="s">
        <v>201</v>
      </c>
      <c r="J138" s="129" t="s">
        <v>201</v>
      </c>
      <c r="K138" s="280" t="s">
        <v>201</v>
      </c>
      <c r="L138" s="45" t="s">
        <v>201</v>
      </c>
      <c r="M138" s="30" t="s">
        <v>201</v>
      </c>
    </row>
    <row r="139" spans="2:15" ht="58.5" thickBot="1" x14ac:dyDescent="0.4">
      <c r="B139" s="483"/>
      <c r="C139" s="154" t="s">
        <v>381</v>
      </c>
      <c r="D139" s="132" t="s">
        <v>200</v>
      </c>
      <c r="E139" s="217" t="s">
        <v>200</v>
      </c>
      <c r="F139" s="173" t="s">
        <v>341</v>
      </c>
      <c r="G139" s="126" t="s">
        <v>341</v>
      </c>
      <c r="H139" s="173" t="s">
        <v>341</v>
      </c>
      <c r="I139" s="147" t="s">
        <v>341</v>
      </c>
      <c r="J139" s="281" t="s">
        <v>193</v>
      </c>
      <c r="K139" s="284" t="s">
        <v>193</v>
      </c>
      <c r="L139" s="158" t="s">
        <v>193</v>
      </c>
      <c r="M139" s="157" t="s">
        <v>193</v>
      </c>
    </row>
    <row r="140" spans="2:15" ht="44" thickBot="1" x14ac:dyDescent="0.4">
      <c r="B140" s="133" t="s">
        <v>225</v>
      </c>
      <c r="C140" s="155" t="s">
        <v>339</v>
      </c>
      <c r="D140" s="122" t="s">
        <v>196</v>
      </c>
      <c r="E140" s="58" t="s">
        <v>341</v>
      </c>
      <c r="F140" s="44" t="s">
        <v>196</v>
      </c>
      <c r="G140" s="143" t="s">
        <v>341</v>
      </c>
      <c r="H140" s="122" t="s">
        <v>196</v>
      </c>
      <c r="I140" s="58" t="s">
        <v>341</v>
      </c>
      <c r="J140" s="122" t="s">
        <v>196</v>
      </c>
      <c r="K140" s="285" t="s">
        <v>196</v>
      </c>
      <c r="L140" s="58" t="s">
        <v>196</v>
      </c>
      <c r="M140" s="155" t="s">
        <v>196</v>
      </c>
    </row>
    <row r="143" spans="2:15" ht="24" thickBot="1" x14ac:dyDescent="0.6">
      <c r="B143" s="222" t="s">
        <v>102</v>
      </c>
      <c r="C143" s="212"/>
      <c r="D143" s="212"/>
      <c r="E143" s="212"/>
      <c r="F143" s="212"/>
      <c r="G143" s="212"/>
      <c r="H143" s="212"/>
      <c r="I143" s="212"/>
      <c r="J143" s="212"/>
      <c r="K143" s="212"/>
      <c r="L143" s="212"/>
      <c r="M143" s="212"/>
      <c r="N143" s="212"/>
      <c r="O143" s="212"/>
    </row>
    <row r="144" spans="2:15" ht="15.75" customHeight="1" x14ac:dyDescent="0.35">
      <c r="B144" s="223"/>
    </row>
    <row r="145" spans="2:12" ht="15.75" customHeight="1" thickBot="1" x14ac:dyDescent="0.4"/>
    <row r="146" spans="2:12" ht="19.5" customHeight="1" thickBot="1" x14ac:dyDescent="0.4">
      <c r="D146" s="493" t="s">
        <v>16</v>
      </c>
      <c r="E146" s="494"/>
      <c r="F146" s="494"/>
      <c r="G146" s="495"/>
      <c r="H146" s="496" t="s">
        <v>20</v>
      </c>
      <c r="I146" s="497"/>
      <c r="J146" s="497"/>
      <c r="K146" s="497"/>
      <c r="L146" s="498"/>
    </row>
    <row r="147" spans="2:12" ht="36" customHeight="1" thickBot="1" x14ac:dyDescent="0.4">
      <c r="C147" s="118" t="s">
        <v>204</v>
      </c>
      <c r="D147" s="499" t="s">
        <v>82</v>
      </c>
      <c r="E147" s="500"/>
      <c r="F147" s="499" t="s">
        <v>382</v>
      </c>
      <c r="G147" s="500"/>
      <c r="H147" s="501" t="s">
        <v>229</v>
      </c>
      <c r="I147" s="502"/>
      <c r="J147" s="503"/>
      <c r="K147" s="501" t="s">
        <v>230</v>
      </c>
      <c r="L147" s="503"/>
    </row>
    <row r="148" spans="2:12" ht="15" thickBot="1" x14ac:dyDescent="0.4">
      <c r="C148" s="32" t="s">
        <v>114</v>
      </c>
      <c r="D148" s="206" t="s">
        <v>118</v>
      </c>
      <c r="E148" s="232" t="s">
        <v>117</v>
      </c>
      <c r="F148" s="206" t="s">
        <v>118</v>
      </c>
      <c r="G148" s="232" t="s">
        <v>117</v>
      </c>
      <c r="H148" s="204" t="s">
        <v>118</v>
      </c>
      <c r="I148" s="234" t="s">
        <v>117</v>
      </c>
      <c r="J148" s="207" t="s">
        <v>343</v>
      </c>
      <c r="K148" s="204" t="s">
        <v>383</v>
      </c>
      <c r="L148" s="205" t="s">
        <v>117</v>
      </c>
    </row>
    <row r="149" spans="2:12" ht="15" thickBot="1" x14ac:dyDescent="0.4">
      <c r="C149" s="243" t="s">
        <v>232</v>
      </c>
      <c r="D149" s="293" t="s">
        <v>233</v>
      </c>
      <c r="E149" s="244" t="s">
        <v>233</v>
      </c>
      <c r="F149" s="293" t="s">
        <v>233</v>
      </c>
      <c r="G149" s="244" t="s">
        <v>233</v>
      </c>
      <c r="H149" s="293" t="s">
        <v>233</v>
      </c>
      <c r="I149" s="296" t="s">
        <v>233</v>
      </c>
      <c r="J149" s="244" t="s">
        <v>234</v>
      </c>
      <c r="K149" s="293" t="s">
        <v>233</v>
      </c>
      <c r="L149" s="244" t="s">
        <v>233</v>
      </c>
    </row>
    <row r="150" spans="2:12" ht="58.5" thickBot="1" x14ac:dyDescent="0.4">
      <c r="C150" s="119" t="s">
        <v>235</v>
      </c>
      <c r="D150" s="291" t="s">
        <v>384</v>
      </c>
      <c r="E150" s="422" t="s">
        <v>385</v>
      </c>
      <c r="F150" s="291" t="s">
        <v>384</v>
      </c>
      <c r="G150" s="422" t="s">
        <v>385</v>
      </c>
      <c r="H150" s="423" t="s">
        <v>238</v>
      </c>
      <c r="I150" s="424" t="s">
        <v>345</v>
      </c>
      <c r="J150" s="292" t="s">
        <v>346</v>
      </c>
      <c r="K150" s="291" t="s">
        <v>386</v>
      </c>
      <c r="L150" s="292" t="s">
        <v>130</v>
      </c>
    </row>
    <row r="151" spans="2:12" ht="15" thickBot="1" x14ac:dyDescent="0.4">
      <c r="B151" s="35" t="s">
        <v>131</v>
      </c>
      <c r="C151" s="35" t="s">
        <v>132</v>
      </c>
      <c r="D151" s="484" t="s">
        <v>241</v>
      </c>
      <c r="E151" s="485"/>
      <c r="F151" s="485"/>
      <c r="G151" s="485"/>
      <c r="H151" s="485"/>
      <c r="I151" s="485"/>
      <c r="J151" s="485"/>
      <c r="K151" s="485"/>
      <c r="L151" s="486"/>
    </row>
    <row r="152" spans="2:12" ht="58.5" thickBot="1" x14ac:dyDescent="0.4">
      <c r="B152" s="144" t="s">
        <v>242</v>
      </c>
      <c r="C152" s="56" t="s">
        <v>243</v>
      </c>
      <c r="D152" s="105" t="s">
        <v>244</v>
      </c>
      <c r="E152" s="12" t="s">
        <v>244</v>
      </c>
      <c r="F152" s="105" t="s">
        <v>244</v>
      </c>
      <c r="G152" s="49" t="s">
        <v>244</v>
      </c>
      <c r="H152" s="105" t="s">
        <v>387</v>
      </c>
      <c r="I152" s="257" t="s">
        <v>247</v>
      </c>
      <c r="J152" s="49" t="s">
        <v>388</v>
      </c>
      <c r="K152" s="257" t="s">
        <v>247</v>
      </c>
      <c r="L152" s="49" t="s">
        <v>247</v>
      </c>
    </row>
    <row r="153" spans="2:12" ht="58" x14ac:dyDescent="0.35">
      <c r="B153" s="487" t="s">
        <v>249</v>
      </c>
      <c r="C153" s="22" t="s">
        <v>349</v>
      </c>
      <c r="D153" s="107" t="s">
        <v>252</v>
      </c>
      <c r="E153" s="10" t="s">
        <v>252</v>
      </c>
      <c r="F153" s="107" t="s">
        <v>252</v>
      </c>
      <c r="G153" s="54" t="s">
        <v>252</v>
      </c>
      <c r="H153" s="107" t="s">
        <v>255</v>
      </c>
      <c r="I153" s="258" t="s">
        <v>256</v>
      </c>
      <c r="J153" s="54" t="s">
        <v>389</v>
      </c>
      <c r="K153" s="107" t="s">
        <v>390</v>
      </c>
      <c r="L153" s="107" t="s">
        <v>390</v>
      </c>
    </row>
    <row r="154" spans="2:12" ht="58" x14ac:dyDescent="0.35">
      <c r="B154" s="488"/>
      <c r="C154" s="21" t="s">
        <v>391</v>
      </c>
      <c r="D154" s="40" t="s">
        <v>260</v>
      </c>
      <c r="E154" s="50" t="s">
        <v>260</v>
      </c>
      <c r="F154" s="40" t="s">
        <v>260</v>
      </c>
      <c r="G154" s="50" t="s">
        <v>260</v>
      </c>
      <c r="H154" s="40" t="s">
        <v>392</v>
      </c>
      <c r="I154" s="256" t="s">
        <v>392</v>
      </c>
      <c r="J154" s="1" t="s">
        <v>392</v>
      </c>
      <c r="K154" s="40" t="s">
        <v>392</v>
      </c>
      <c r="L154" s="50" t="s">
        <v>392</v>
      </c>
    </row>
    <row r="155" spans="2:12" ht="43.5" x14ac:dyDescent="0.35">
      <c r="B155" s="488"/>
      <c r="C155" s="21" t="s">
        <v>393</v>
      </c>
      <c r="D155" s="40" t="s">
        <v>262</v>
      </c>
      <c r="E155" s="50" t="s">
        <v>262</v>
      </c>
      <c r="F155" s="40" t="s">
        <v>262</v>
      </c>
      <c r="G155" s="50" t="s">
        <v>262</v>
      </c>
      <c r="H155" s="40" t="s">
        <v>262</v>
      </c>
      <c r="I155" s="256" t="s">
        <v>262</v>
      </c>
      <c r="J155" s="50" t="s">
        <v>262</v>
      </c>
      <c r="K155" s="40" t="s">
        <v>262</v>
      </c>
      <c r="L155" s="50" t="s">
        <v>262</v>
      </c>
    </row>
    <row r="156" spans="2:12" ht="29" x14ac:dyDescent="0.35">
      <c r="B156" s="488"/>
      <c r="C156" s="21" t="s">
        <v>355</v>
      </c>
      <c r="D156" s="40" t="s">
        <v>264</v>
      </c>
      <c r="E156" s="1" t="s">
        <v>264</v>
      </c>
      <c r="F156" s="40" t="s">
        <v>264</v>
      </c>
      <c r="G156" s="50" t="s">
        <v>264</v>
      </c>
      <c r="H156" s="40" t="s">
        <v>264</v>
      </c>
      <c r="I156" s="256" t="s">
        <v>264</v>
      </c>
      <c r="J156" s="1" t="s">
        <v>264</v>
      </c>
      <c r="K156" s="40" t="s">
        <v>162</v>
      </c>
      <c r="L156" s="50" t="s">
        <v>162</v>
      </c>
    </row>
    <row r="157" spans="2:12" ht="43.5" x14ac:dyDescent="0.35">
      <c r="B157" s="488"/>
      <c r="C157" s="21" t="s">
        <v>358</v>
      </c>
      <c r="D157" s="40" t="s">
        <v>266</v>
      </c>
      <c r="E157" s="50" t="s">
        <v>267</v>
      </c>
      <c r="F157" s="40" t="s">
        <v>266</v>
      </c>
      <c r="G157" s="50" t="s">
        <v>267</v>
      </c>
      <c r="H157" s="40" t="s">
        <v>394</v>
      </c>
      <c r="I157" s="256" t="s">
        <v>267</v>
      </c>
      <c r="J157" s="50" t="s">
        <v>267</v>
      </c>
      <c r="K157" s="40" t="s">
        <v>162</v>
      </c>
      <c r="L157" s="50" t="s">
        <v>162</v>
      </c>
    </row>
    <row r="158" spans="2:12" ht="58" x14ac:dyDescent="0.35">
      <c r="B158" s="488"/>
      <c r="C158" s="21" t="s">
        <v>359</v>
      </c>
      <c r="D158" s="40" t="s">
        <v>271</v>
      </c>
      <c r="E158" s="50" t="s">
        <v>271</v>
      </c>
      <c r="F158" s="256" t="s">
        <v>271</v>
      </c>
      <c r="G158" s="50" t="s">
        <v>271</v>
      </c>
      <c r="H158" s="40" t="s">
        <v>395</v>
      </c>
      <c r="I158" s="256" t="s">
        <v>395</v>
      </c>
      <c r="J158" s="50" t="s">
        <v>395</v>
      </c>
      <c r="K158" s="40" t="s">
        <v>162</v>
      </c>
      <c r="L158" s="50" t="s">
        <v>162</v>
      </c>
    </row>
    <row r="159" spans="2:12" ht="87" x14ac:dyDescent="0.35">
      <c r="B159" s="488"/>
      <c r="C159" s="55" t="s">
        <v>212</v>
      </c>
      <c r="D159" s="40" t="s">
        <v>143</v>
      </c>
      <c r="E159" s="50" t="s">
        <v>143</v>
      </c>
      <c r="F159" s="40" t="s">
        <v>143</v>
      </c>
      <c r="G159" s="50" t="s">
        <v>143</v>
      </c>
      <c r="H159" s="40" t="s">
        <v>273</v>
      </c>
      <c r="I159" s="256" t="s">
        <v>273</v>
      </c>
      <c r="J159" s="50" t="s">
        <v>273</v>
      </c>
      <c r="K159" s="253" t="s">
        <v>162</v>
      </c>
      <c r="L159" s="46" t="s">
        <v>162</v>
      </c>
    </row>
    <row r="160" spans="2:12" ht="102" thickBot="1" x14ac:dyDescent="0.4">
      <c r="B160" s="489"/>
      <c r="C160" s="60" t="s">
        <v>274</v>
      </c>
      <c r="D160" s="216" t="s">
        <v>193</v>
      </c>
      <c r="E160" s="216" t="s">
        <v>193</v>
      </c>
      <c r="F160" s="216" t="s">
        <v>193</v>
      </c>
      <c r="G160" s="216" t="s">
        <v>193</v>
      </c>
      <c r="H160" s="216" t="s">
        <v>143</v>
      </c>
      <c r="I160" s="262" t="s">
        <v>143</v>
      </c>
      <c r="J160" s="140" t="s">
        <v>275</v>
      </c>
      <c r="K160" s="216" t="s">
        <v>162</v>
      </c>
      <c r="L160" s="140" t="s">
        <v>162</v>
      </c>
    </row>
    <row r="161" spans="2:12" ht="42.5" thickBot="1" x14ac:dyDescent="0.4">
      <c r="B161" s="133" t="s">
        <v>213</v>
      </c>
      <c r="C161" s="24" t="s">
        <v>276</v>
      </c>
      <c r="D161" s="105" t="s">
        <v>277</v>
      </c>
      <c r="E161" s="49" t="s">
        <v>277</v>
      </c>
      <c r="F161" s="105" t="s">
        <v>277</v>
      </c>
      <c r="G161" s="49" t="s">
        <v>277</v>
      </c>
      <c r="H161" s="213" t="s">
        <v>277</v>
      </c>
      <c r="I161" s="297" t="s">
        <v>277</v>
      </c>
      <c r="J161" s="141" t="s">
        <v>277</v>
      </c>
      <c r="K161" s="213" t="s">
        <v>278</v>
      </c>
      <c r="L161" s="52" t="s">
        <v>278</v>
      </c>
    </row>
    <row r="162" spans="2:12" ht="145" x14ac:dyDescent="0.35">
      <c r="B162" s="482" t="s">
        <v>279</v>
      </c>
      <c r="C162" s="25" t="s">
        <v>280</v>
      </c>
      <c r="D162" s="107" t="s">
        <v>281</v>
      </c>
      <c r="E162" s="54" t="s">
        <v>281</v>
      </c>
      <c r="F162" s="258" t="s">
        <v>281</v>
      </c>
      <c r="G162" s="54" t="s">
        <v>281</v>
      </c>
      <c r="H162" s="107" t="s">
        <v>281</v>
      </c>
      <c r="I162" s="258" t="s">
        <v>281</v>
      </c>
      <c r="J162" s="54" t="s">
        <v>281</v>
      </c>
      <c r="K162" s="107" t="s">
        <v>281</v>
      </c>
      <c r="L162" s="54" t="s">
        <v>281</v>
      </c>
    </row>
    <row r="163" spans="2:12" ht="87" x14ac:dyDescent="0.35">
      <c r="B163" s="490"/>
      <c r="C163" s="26" t="s">
        <v>282</v>
      </c>
      <c r="D163" s="40" t="s">
        <v>284</v>
      </c>
      <c r="E163" s="1" t="s">
        <v>284</v>
      </c>
      <c r="F163" s="256" t="s">
        <v>284</v>
      </c>
      <c r="G163" s="50" t="s">
        <v>284</v>
      </c>
      <c r="H163" s="40" t="s">
        <v>284</v>
      </c>
      <c r="I163" s="256" t="s">
        <v>284</v>
      </c>
      <c r="J163" s="1" t="s">
        <v>284</v>
      </c>
      <c r="K163" s="40" t="s">
        <v>285</v>
      </c>
      <c r="L163" s="50" t="s">
        <v>285</v>
      </c>
    </row>
    <row r="164" spans="2:12" ht="43.5" x14ac:dyDescent="0.35">
      <c r="B164" s="490"/>
      <c r="C164" s="26" t="s">
        <v>286</v>
      </c>
      <c r="D164" s="40" t="s">
        <v>288</v>
      </c>
      <c r="E164" s="1" t="s">
        <v>288</v>
      </c>
      <c r="F164" s="40" t="s">
        <v>288</v>
      </c>
      <c r="G164" s="50" t="s">
        <v>288</v>
      </c>
      <c r="H164" s="40" t="s">
        <v>287</v>
      </c>
      <c r="I164" s="256" t="s">
        <v>287</v>
      </c>
      <c r="J164" s="50" t="s">
        <v>287</v>
      </c>
      <c r="K164" s="256" t="s">
        <v>289</v>
      </c>
      <c r="L164" s="50" t="s">
        <v>289</v>
      </c>
    </row>
    <row r="165" spans="2:12" ht="43.5" x14ac:dyDescent="0.35">
      <c r="B165" s="490"/>
      <c r="C165" s="26" t="s">
        <v>290</v>
      </c>
      <c r="D165" s="40" t="s">
        <v>291</v>
      </c>
      <c r="E165" s="50" t="s">
        <v>291</v>
      </c>
      <c r="F165" s="40" t="s">
        <v>291</v>
      </c>
      <c r="G165" s="50" t="s">
        <v>291</v>
      </c>
      <c r="H165" s="40" t="s">
        <v>291</v>
      </c>
      <c r="I165" s="256" t="s">
        <v>291</v>
      </c>
      <c r="J165" s="50" t="s">
        <v>291</v>
      </c>
      <c r="K165" s="40" t="s">
        <v>292</v>
      </c>
      <c r="L165" s="50" t="s">
        <v>292</v>
      </c>
    </row>
    <row r="166" spans="2:12" ht="58.5" thickBot="1" x14ac:dyDescent="0.4">
      <c r="B166" s="483"/>
      <c r="C166" s="23" t="s">
        <v>293</v>
      </c>
      <c r="D166" s="104" t="s">
        <v>295</v>
      </c>
      <c r="E166" s="51" t="s">
        <v>295</v>
      </c>
      <c r="F166" s="104" t="s">
        <v>295</v>
      </c>
      <c r="G166" s="51" t="s">
        <v>295</v>
      </c>
      <c r="H166" s="104" t="s">
        <v>295</v>
      </c>
      <c r="I166" s="261" t="s">
        <v>295</v>
      </c>
      <c r="J166" s="51" t="s">
        <v>295</v>
      </c>
      <c r="K166" s="104" t="s">
        <v>295</v>
      </c>
      <c r="L166" s="51" t="s">
        <v>295</v>
      </c>
    </row>
    <row r="167" spans="2:12" ht="58.5" thickBot="1" x14ac:dyDescent="0.4">
      <c r="B167" s="133" t="s">
        <v>296</v>
      </c>
      <c r="C167" s="24" t="s">
        <v>297</v>
      </c>
      <c r="D167" s="213" t="s">
        <v>298</v>
      </c>
      <c r="E167" s="52" t="s">
        <v>298</v>
      </c>
      <c r="F167" s="213" t="s">
        <v>298</v>
      </c>
      <c r="G167" s="52" t="s">
        <v>298</v>
      </c>
      <c r="H167" s="295" t="s">
        <v>396</v>
      </c>
      <c r="I167" s="298" t="s">
        <v>396</v>
      </c>
      <c r="J167" s="12" t="s">
        <v>397</v>
      </c>
      <c r="K167" s="295" t="s">
        <v>396</v>
      </c>
      <c r="L167" s="300" t="s">
        <v>396</v>
      </c>
    </row>
    <row r="168" spans="2:12" ht="44" thickBot="1" x14ac:dyDescent="0.4">
      <c r="B168" s="133" t="s">
        <v>299</v>
      </c>
      <c r="C168" s="24" t="s">
        <v>300</v>
      </c>
      <c r="D168" s="105" t="s">
        <v>301</v>
      </c>
      <c r="E168" s="49" t="s">
        <v>301</v>
      </c>
      <c r="F168" s="105" t="s">
        <v>301</v>
      </c>
      <c r="G168" s="49" t="s">
        <v>301</v>
      </c>
      <c r="H168" s="105" t="s">
        <v>301</v>
      </c>
      <c r="I168" s="257" t="s">
        <v>301</v>
      </c>
      <c r="J168" s="49" t="s">
        <v>301</v>
      </c>
      <c r="K168" s="105" t="s">
        <v>301</v>
      </c>
      <c r="L168" s="49" t="s">
        <v>301</v>
      </c>
    </row>
    <row r="169" spans="2:12" ht="15" thickBot="1" x14ac:dyDescent="0.4">
      <c r="B169" s="491" t="s">
        <v>302</v>
      </c>
      <c r="C169" s="25" t="s">
        <v>303</v>
      </c>
      <c r="D169" s="253" t="s">
        <v>398</v>
      </c>
      <c r="E169" s="46" t="s">
        <v>398</v>
      </c>
      <c r="F169" s="253" t="s">
        <v>398</v>
      </c>
      <c r="G169" s="46" t="s">
        <v>398</v>
      </c>
      <c r="H169" s="213" t="s">
        <v>162</v>
      </c>
      <c r="I169" s="299" t="s">
        <v>162</v>
      </c>
      <c r="J169" s="54" t="s">
        <v>399</v>
      </c>
      <c r="K169" s="107" t="s">
        <v>399</v>
      </c>
      <c r="L169" s="54" t="s">
        <v>399</v>
      </c>
    </row>
    <row r="170" spans="2:12" ht="15" thickBot="1" x14ac:dyDescent="0.4">
      <c r="B170" s="492"/>
      <c r="C170" s="23" t="s">
        <v>400</v>
      </c>
      <c r="D170" s="110" t="s">
        <v>401</v>
      </c>
      <c r="E170" s="53" t="s">
        <v>401</v>
      </c>
      <c r="F170" s="294" t="s">
        <v>401</v>
      </c>
      <c r="G170" s="53" t="s">
        <v>401</v>
      </c>
      <c r="H170" s="213" t="s">
        <v>162</v>
      </c>
      <c r="I170" s="299" t="s">
        <v>162</v>
      </c>
      <c r="J170" s="51" t="s">
        <v>399</v>
      </c>
      <c r="K170" s="104" t="s">
        <v>399</v>
      </c>
      <c r="L170" s="51" t="s">
        <v>399</v>
      </c>
    </row>
    <row r="171" spans="2:12" ht="72.5" x14ac:dyDescent="0.35">
      <c r="B171" s="482" t="s">
        <v>308</v>
      </c>
      <c r="C171" s="20" t="s">
        <v>309</v>
      </c>
      <c r="D171" s="107" t="s">
        <v>311</v>
      </c>
      <c r="E171" s="10" t="s">
        <v>311</v>
      </c>
      <c r="F171" s="107" t="s">
        <v>311</v>
      </c>
      <c r="G171" s="54" t="s">
        <v>311</v>
      </c>
      <c r="H171" s="107" t="s">
        <v>311</v>
      </c>
      <c r="I171" s="258" t="s">
        <v>311</v>
      </c>
      <c r="J171" s="10" t="s">
        <v>311</v>
      </c>
      <c r="K171" s="259" t="s">
        <v>313</v>
      </c>
      <c r="L171" s="260" t="s">
        <v>313</v>
      </c>
    </row>
    <row r="172" spans="2:12" ht="116.5" thickBot="1" x14ac:dyDescent="0.4">
      <c r="B172" s="483"/>
      <c r="C172" s="27" t="s">
        <v>314</v>
      </c>
      <c r="D172" s="104" t="s">
        <v>315</v>
      </c>
      <c r="E172" s="11" t="s">
        <v>315</v>
      </c>
      <c r="F172" s="104" t="s">
        <v>315</v>
      </c>
      <c r="G172" s="51" t="s">
        <v>315</v>
      </c>
      <c r="H172" s="104" t="s">
        <v>315</v>
      </c>
      <c r="I172" s="261" t="s">
        <v>315</v>
      </c>
      <c r="J172" s="11" t="s">
        <v>315</v>
      </c>
      <c r="K172" s="104" t="s">
        <v>316</v>
      </c>
      <c r="L172" s="51" t="s">
        <v>316</v>
      </c>
    </row>
    <row r="173" spans="2:12" ht="29" x14ac:dyDescent="0.35">
      <c r="B173" s="482" t="s">
        <v>183</v>
      </c>
      <c r="C173" s="20" t="s">
        <v>374</v>
      </c>
      <c r="D173" s="253" t="s">
        <v>318</v>
      </c>
      <c r="E173" s="46" t="s">
        <v>318</v>
      </c>
      <c r="F173" s="253" t="s">
        <v>318</v>
      </c>
      <c r="G173" s="46" t="s">
        <v>318</v>
      </c>
      <c r="H173" s="107" t="s">
        <v>318</v>
      </c>
      <c r="I173" s="258" t="s">
        <v>318</v>
      </c>
      <c r="J173" s="54" t="s">
        <v>318</v>
      </c>
      <c r="K173" s="107" t="s">
        <v>318</v>
      </c>
      <c r="L173" s="54" t="s">
        <v>318</v>
      </c>
    </row>
    <row r="174" spans="2:12" ht="29" x14ac:dyDescent="0.35">
      <c r="B174" s="490"/>
      <c r="C174" s="26" t="s">
        <v>402</v>
      </c>
      <c r="D174" s="40" t="s">
        <v>320</v>
      </c>
      <c r="E174" s="50" t="s">
        <v>320</v>
      </c>
      <c r="F174" s="40" t="s">
        <v>320</v>
      </c>
      <c r="G174" s="50" t="s">
        <v>320</v>
      </c>
      <c r="H174" s="40" t="s">
        <v>320</v>
      </c>
      <c r="I174" s="256" t="s">
        <v>320</v>
      </c>
      <c r="J174" s="50" t="s">
        <v>320</v>
      </c>
      <c r="K174" s="40" t="s">
        <v>320</v>
      </c>
      <c r="L174" s="50" t="s">
        <v>320</v>
      </c>
    </row>
    <row r="175" spans="2:12" ht="29" x14ac:dyDescent="0.35">
      <c r="B175" s="490"/>
      <c r="C175" s="26" t="s">
        <v>321</v>
      </c>
      <c r="D175" s="40" t="s">
        <v>323</v>
      </c>
      <c r="E175" s="1" t="s">
        <v>323</v>
      </c>
      <c r="F175" s="40" t="s">
        <v>323</v>
      </c>
      <c r="G175" s="50" t="s">
        <v>323</v>
      </c>
      <c r="H175" s="40" t="s">
        <v>323</v>
      </c>
      <c r="I175" s="256" t="s">
        <v>323</v>
      </c>
      <c r="J175" s="1" t="s">
        <v>323</v>
      </c>
      <c r="K175" s="40" t="s">
        <v>323</v>
      </c>
      <c r="L175" s="50" t="s">
        <v>323</v>
      </c>
    </row>
    <row r="176" spans="2:12" ht="72.5" x14ac:dyDescent="0.35">
      <c r="B176" s="490"/>
      <c r="C176" s="21" t="s">
        <v>379</v>
      </c>
      <c r="D176" s="40" t="s">
        <v>325</v>
      </c>
      <c r="E176" s="50" t="s">
        <v>325</v>
      </c>
      <c r="F176" s="40" t="s">
        <v>325</v>
      </c>
      <c r="G176" s="50" t="s">
        <v>325</v>
      </c>
      <c r="H176" s="40" t="s">
        <v>326</v>
      </c>
      <c r="I176" s="256" t="s">
        <v>327</v>
      </c>
      <c r="J176" s="50" t="s">
        <v>327</v>
      </c>
      <c r="K176" s="256" t="s">
        <v>328</v>
      </c>
      <c r="L176" s="50" t="s">
        <v>328</v>
      </c>
    </row>
    <row r="177" spans="2:12" ht="72.5" x14ac:dyDescent="0.35">
      <c r="B177" s="490"/>
      <c r="C177" s="26" t="s">
        <v>329</v>
      </c>
      <c r="D177" s="40" t="s">
        <v>403</v>
      </c>
      <c r="E177" s="256" t="s">
        <v>403</v>
      </c>
      <c r="F177" s="40" t="s">
        <v>403</v>
      </c>
      <c r="G177" s="50" t="s">
        <v>403</v>
      </c>
      <c r="H177" s="40" t="s">
        <v>403</v>
      </c>
      <c r="I177" s="256" t="s">
        <v>403</v>
      </c>
      <c r="J177" s="256" t="s">
        <v>403</v>
      </c>
      <c r="K177" s="256" t="s">
        <v>404</v>
      </c>
      <c r="L177" s="50" t="s">
        <v>404</v>
      </c>
    </row>
    <row r="178" spans="2:12" ht="73" thickBot="1" x14ac:dyDescent="0.4">
      <c r="B178" s="490"/>
      <c r="C178" s="27" t="s">
        <v>333</v>
      </c>
      <c r="D178" s="104" t="s">
        <v>334</v>
      </c>
      <c r="E178" s="51" t="s">
        <v>334</v>
      </c>
      <c r="F178" s="255" t="s">
        <v>334</v>
      </c>
      <c r="G178" s="51" t="s">
        <v>334</v>
      </c>
      <c r="H178" s="104" t="s">
        <v>334</v>
      </c>
      <c r="I178" s="261" t="s">
        <v>334</v>
      </c>
      <c r="J178" s="51" t="s">
        <v>334</v>
      </c>
      <c r="K178" s="255" t="s">
        <v>334</v>
      </c>
      <c r="L178" s="51" t="s">
        <v>405</v>
      </c>
    </row>
    <row r="179" spans="2:12" ht="29" x14ac:dyDescent="0.35">
      <c r="B179" s="482" t="s">
        <v>336</v>
      </c>
      <c r="C179" s="25" t="s">
        <v>337</v>
      </c>
      <c r="D179" s="107" t="s">
        <v>201</v>
      </c>
      <c r="E179" s="54" t="s">
        <v>201</v>
      </c>
      <c r="F179" s="107" t="s">
        <v>201</v>
      </c>
      <c r="G179" s="54" t="s">
        <v>201</v>
      </c>
      <c r="H179" s="107" t="s">
        <v>201</v>
      </c>
      <c r="I179" s="258" t="s">
        <v>201</v>
      </c>
      <c r="J179" s="54" t="s">
        <v>201</v>
      </c>
      <c r="K179" s="107" t="s">
        <v>201</v>
      </c>
      <c r="L179" s="54" t="s">
        <v>201</v>
      </c>
    </row>
    <row r="180" spans="2:12" ht="29.5" thickBot="1" x14ac:dyDescent="0.4">
      <c r="B180" s="483"/>
      <c r="C180" s="23" t="s">
        <v>338</v>
      </c>
      <c r="D180" s="104" t="s">
        <v>202</v>
      </c>
      <c r="E180" s="11" t="s">
        <v>202</v>
      </c>
      <c r="F180" s="104" t="s">
        <v>202</v>
      </c>
      <c r="G180" s="51" t="s">
        <v>202</v>
      </c>
      <c r="H180" s="104" t="s">
        <v>202</v>
      </c>
      <c r="I180" s="261" t="s">
        <v>202</v>
      </c>
      <c r="J180" s="11" t="s">
        <v>202</v>
      </c>
      <c r="K180" s="104" t="s">
        <v>202</v>
      </c>
      <c r="L180" s="51" t="s">
        <v>202</v>
      </c>
    </row>
    <row r="181" spans="2:12" ht="44" thickBot="1" x14ac:dyDescent="0.4">
      <c r="B181" s="133" t="s">
        <v>225</v>
      </c>
      <c r="C181" s="24" t="s">
        <v>339</v>
      </c>
      <c r="D181" s="105" t="s">
        <v>196</v>
      </c>
      <c r="E181" s="49" t="s">
        <v>341</v>
      </c>
      <c r="F181" s="105" t="s">
        <v>196</v>
      </c>
      <c r="G181" s="49" t="s">
        <v>341</v>
      </c>
      <c r="H181" s="216" t="s">
        <v>340</v>
      </c>
      <c r="I181" s="262" t="s">
        <v>340</v>
      </c>
      <c r="J181" s="142" t="s">
        <v>340</v>
      </c>
      <c r="K181" s="216" t="s">
        <v>342</v>
      </c>
      <c r="L181" s="140" t="s">
        <v>342</v>
      </c>
    </row>
  </sheetData>
  <mergeCells count="76">
    <mergeCell ref="D10:I10"/>
    <mergeCell ref="J10:O10"/>
    <mergeCell ref="D11:E11"/>
    <mergeCell ref="F11:G11"/>
    <mergeCell ref="H11:I11"/>
    <mergeCell ref="J11:K11"/>
    <mergeCell ref="L11:M11"/>
    <mergeCell ref="N11:O11"/>
    <mergeCell ref="D38:I38"/>
    <mergeCell ref="J38:O38"/>
    <mergeCell ref="D14:O14"/>
    <mergeCell ref="B15:B17"/>
    <mergeCell ref="B19:B22"/>
    <mergeCell ref="B23:B24"/>
    <mergeCell ref="B27:B28"/>
    <mergeCell ref="B30:B31"/>
    <mergeCell ref="C30:C31"/>
    <mergeCell ref="D30:D31"/>
    <mergeCell ref="E30:E31"/>
    <mergeCell ref="J30:J31"/>
    <mergeCell ref="N39:O39"/>
    <mergeCell ref="K30:K31"/>
    <mergeCell ref="L30:L31"/>
    <mergeCell ref="M30:M31"/>
    <mergeCell ref="N30:N31"/>
    <mergeCell ref="O30:O31"/>
    <mergeCell ref="D39:E39"/>
    <mergeCell ref="F39:G39"/>
    <mergeCell ref="H39:I39"/>
    <mergeCell ref="J39:K39"/>
    <mergeCell ref="L39:M39"/>
    <mergeCell ref="M65:N65"/>
    <mergeCell ref="D69:N69"/>
    <mergeCell ref="D42:O42"/>
    <mergeCell ref="B43:B45"/>
    <mergeCell ref="B47:B50"/>
    <mergeCell ref="B51:B52"/>
    <mergeCell ref="B55:B56"/>
    <mergeCell ref="D64:I64"/>
    <mergeCell ref="J64:N64"/>
    <mergeCell ref="B97:B98"/>
    <mergeCell ref="D65:E65"/>
    <mergeCell ref="F65:G65"/>
    <mergeCell ref="H65:I65"/>
    <mergeCell ref="J65:L65"/>
    <mergeCell ref="B71:B78"/>
    <mergeCell ref="B80:B84"/>
    <mergeCell ref="B87:B88"/>
    <mergeCell ref="B89:B90"/>
    <mergeCell ref="B91:B96"/>
    <mergeCell ref="B132:B137"/>
    <mergeCell ref="D105:I105"/>
    <mergeCell ref="J105:M105"/>
    <mergeCell ref="D106:E106"/>
    <mergeCell ref="F106:G106"/>
    <mergeCell ref="H106:I106"/>
    <mergeCell ref="J106:L106"/>
    <mergeCell ref="D110:M110"/>
    <mergeCell ref="B112:B119"/>
    <mergeCell ref="B121:B125"/>
    <mergeCell ref="B128:B129"/>
    <mergeCell ref="B130:B131"/>
    <mergeCell ref="B138:B139"/>
    <mergeCell ref="D146:G146"/>
    <mergeCell ref="H146:L146"/>
    <mergeCell ref="D147:E147"/>
    <mergeCell ref="F147:G147"/>
    <mergeCell ref="H147:J147"/>
    <mergeCell ref="K147:L147"/>
    <mergeCell ref="B179:B180"/>
    <mergeCell ref="D151:L151"/>
    <mergeCell ref="B153:B160"/>
    <mergeCell ref="B162:B166"/>
    <mergeCell ref="B169:B170"/>
    <mergeCell ref="B171:B172"/>
    <mergeCell ref="B173:B178"/>
  </mergeCells>
  <pageMargins left="0.7" right="0.7" top="0.75" bottom="0.75" header="0.3" footer="0.3"/>
  <pageSetup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0BBD-7B38-4FB8-A64D-6DDCA033E9CC}">
  <dimension ref="B1:E72"/>
  <sheetViews>
    <sheetView showGridLines="0" zoomScale="80" zoomScaleNormal="80" workbookViewId="0"/>
  </sheetViews>
  <sheetFormatPr defaultColWidth="54.1796875" defaultRowHeight="35.25" customHeight="1" x14ac:dyDescent="0.35"/>
  <cols>
    <col min="1" max="1" width="3.7265625" customWidth="1"/>
    <col min="3" max="3" width="89.26953125" customWidth="1"/>
    <col min="4" max="4" width="67.26953125" customWidth="1"/>
    <col min="5" max="5" width="57" customWidth="1"/>
  </cols>
  <sheetData>
    <row r="1" spans="2:5" ht="15" customHeight="1" x14ac:dyDescent="0.35"/>
    <row r="2" spans="2:5" ht="22.5" customHeight="1" x14ac:dyDescent="0.55000000000000004">
      <c r="B2" s="301" t="s">
        <v>406</v>
      </c>
      <c r="C2" s="218"/>
      <c r="D2" s="218"/>
      <c r="E2" s="218"/>
    </row>
    <row r="3" spans="2:5" ht="15.5" x14ac:dyDescent="0.35">
      <c r="B3" s="302" t="s">
        <v>407</v>
      </c>
    </row>
    <row r="4" spans="2:5" ht="14.5" x14ac:dyDescent="0.35"/>
    <row r="5" spans="2:5" ht="21" x14ac:dyDescent="0.5">
      <c r="B5" s="528" t="s">
        <v>408</v>
      </c>
      <c r="C5" s="528"/>
      <c r="D5" s="528"/>
      <c r="E5" s="528"/>
    </row>
    <row r="6" spans="2:5" ht="19" thickBot="1" x14ac:dyDescent="0.5">
      <c r="B6" s="3"/>
    </row>
    <row r="7" spans="2:5" ht="35.25" customHeight="1" thickBot="1" x14ac:dyDescent="0.4">
      <c r="B7" s="6" t="s">
        <v>409</v>
      </c>
      <c r="C7" s="7" t="s">
        <v>410</v>
      </c>
    </row>
    <row r="8" spans="2:5" ht="30" customHeight="1" thickBot="1" x14ac:dyDescent="0.4">
      <c r="B8" s="19" t="s">
        <v>411</v>
      </c>
      <c r="C8" s="324" t="s">
        <v>412</v>
      </c>
    </row>
    <row r="9" spans="2:5" ht="145.5" thickBot="1" x14ac:dyDescent="0.4">
      <c r="B9" s="19" t="s">
        <v>413</v>
      </c>
      <c r="C9" s="324" t="s">
        <v>414</v>
      </c>
    </row>
    <row r="10" spans="2:5" ht="58.5" thickBot="1" x14ac:dyDescent="0.4">
      <c r="B10" s="19" t="s">
        <v>415</v>
      </c>
      <c r="C10" s="324" t="s">
        <v>416</v>
      </c>
    </row>
    <row r="11" spans="2:5" ht="30" customHeight="1" thickBot="1" x14ac:dyDescent="0.4">
      <c r="B11" s="19" t="s">
        <v>417</v>
      </c>
      <c r="C11" s="324" t="s">
        <v>418</v>
      </c>
    </row>
    <row r="12" spans="2:5" ht="30" customHeight="1" thickBot="1" x14ac:dyDescent="0.4">
      <c r="B12" s="19" t="s">
        <v>419</v>
      </c>
      <c r="C12" s="324" t="s">
        <v>420</v>
      </c>
    </row>
    <row r="13" spans="2:5" ht="145.5" thickBot="1" x14ac:dyDescent="0.4">
      <c r="B13" s="19" t="s">
        <v>421</v>
      </c>
      <c r="C13" s="325" t="s">
        <v>422</v>
      </c>
    </row>
    <row r="14" spans="2:5" ht="30" customHeight="1" thickBot="1" x14ac:dyDescent="0.4">
      <c r="B14" s="19" t="s">
        <v>423</v>
      </c>
      <c r="C14" s="324" t="s">
        <v>424</v>
      </c>
    </row>
    <row r="15" spans="2:5" ht="30" customHeight="1" thickBot="1" x14ac:dyDescent="0.4">
      <c r="B15" s="19" t="s">
        <v>425</v>
      </c>
      <c r="C15" s="324" t="s">
        <v>426</v>
      </c>
    </row>
    <row r="16" spans="2:5" ht="30" customHeight="1" thickBot="1" x14ac:dyDescent="0.4">
      <c r="B16" s="19" t="s">
        <v>427</v>
      </c>
      <c r="C16" s="324" t="s">
        <v>426</v>
      </c>
    </row>
    <row r="17" spans="2:5" ht="30" customHeight="1" thickBot="1" x14ac:dyDescent="0.4">
      <c r="B17" s="19" t="s">
        <v>428</v>
      </c>
      <c r="C17" s="324" t="s">
        <v>426</v>
      </c>
    </row>
    <row r="18" spans="2:5" ht="78" customHeight="1" thickBot="1" x14ac:dyDescent="0.4">
      <c r="B18" s="437" t="s">
        <v>429</v>
      </c>
      <c r="C18" s="436" t="s">
        <v>430</v>
      </c>
    </row>
    <row r="19" spans="2:5" ht="14.5" x14ac:dyDescent="0.35">
      <c r="B19" s="435"/>
      <c r="C19" s="434"/>
    </row>
    <row r="20" spans="2:5" ht="15.75" customHeight="1" x14ac:dyDescent="0.35">
      <c r="B20" s="33"/>
    </row>
    <row r="21" spans="2:5" ht="21" x14ac:dyDescent="0.5">
      <c r="B21" s="528" t="s">
        <v>431</v>
      </c>
      <c r="C21" s="528"/>
      <c r="D21" s="528"/>
      <c r="E21" s="528"/>
    </row>
    <row r="22" spans="2:5" ht="15.75" customHeight="1" thickBot="1" x14ac:dyDescent="0.4">
      <c r="B22" s="33"/>
    </row>
    <row r="23" spans="2:5" ht="35.25" customHeight="1" thickBot="1" x14ac:dyDescent="0.4">
      <c r="B23" s="4"/>
      <c r="C23" s="5" t="s">
        <v>432</v>
      </c>
    </row>
    <row r="24" spans="2:5" ht="60" customHeight="1" x14ac:dyDescent="0.35">
      <c r="B24" s="536" t="s">
        <v>433</v>
      </c>
      <c r="C24" s="534" t="s">
        <v>434</v>
      </c>
    </row>
    <row r="25" spans="2:5" ht="14.5" x14ac:dyDescent="0.35">
      <c r="B25" s="537"/>
      <c r="C25" s="535"/>
    </row>
    <row r="26" spans="2:5" ht="104.5" customHeight="1" thickBot="1" x14ac:dyDescent="0.4">
      <c r="B26" s="538"/>
      <c r="C26" s="326" t="s">
        <v>435</v>
      </c>
    </row>
    <row r="27" spans="2:5" ht="14.5" x14ac:dyDescent="0.35">
      <c r="B27" s="304"/>
      <c r="C27" s="100"/>
    </row>
    <row r="28" spans="2:5" ht="21" x14ac:dyDescent="0.5">
      <c r="B28" s="527" t="s">
        <v>436</v>
      </c>
      <c r="C28" s="528"/>
      <c r="D28" s="528"/>
      <c r="E28" s="528"/>
    </row>
    <row r="29" spans="2:5" ht="15" thickBot="1" x14ac:dyDescent="0.4"/>
    <row r="30" spans="2:5" ht="35.25" customHeight="1" thickBot="1" x14ac:dyDescent="0.4">
      <c r="C30" s="171" t="s">
        <v>437</v>
      </c>
      <c r="D30" s="168" t="s">
        <v>438</v>
      </c>
      <c r="E30" s="314" t="s">
        <v>439</v>
      </c>
    </row>
    <row r="31" spans="2:5" ht="35.25" customHeight="1" thickBot="1" x14ac:dyDescent="0.4">
      <c r="B31" s="311" t="s">
        <v>432</v>
      </c>
      <c r="C31" s="169" t="s">
        <v>116</v>
      </c>
      <c r="D31" s="169" t="s">
        <v>440</v>
      </c>
      <c r="E31" s="315" t="s">
        <v>441</v>
      </c>
    </row>
    <row r="32" spans="2:5" ht="38.25" customHeight="1" x14ac:dyDescent="0.35">
      <c r="B32" s="8" t="s">
        <v>442</v>
      </c>
      <c r="C32" s="433" t="s">
        <v>443</v>
      </c>
      <c r="D32" s="433" t="s">
        <v>444</v>
      </c>
      <c r="E32" s="432" t="s">
        <v>445</v>
      </c>
    </row>
    <row r="33" spans="2:5" ht="54.75" customHeight="1" x14ac:dyDescent="0.35">
      <c r="B33" s="312" t="s">
        <v>446</v>
      </c>
      <c r="C33" s="431" t="s">
        <v>447</v>
      </c>
      <c r="D33" s="430" t="s">
        <v>448</v>
      </c>
      <c r="E33" s="429" t="s">
        <v>448</v>
      </c>
    </row>
    <row r="34" spans="2:5" ht="73" thickBot="1" x14ac:dyDescent="0.4">
      <c r="B34" s="18" t="s">
        <v>449</v>
      </c>
      <c r="C34" s="313" t="s">
        <v>450</v>
      </c>
      <c r="D34" s="313" t="s">
        <v>451</v>
      </c>
      <c r="E34" s="316" t="s">
        <v>452</v>
      </c>
    </row>
    <row r="35" spans="2:5" ht="14.5" x14ac:dyDescent="0.35">
      <c r="B35" s="305"/>
      <c r="C35" s="170"/>
      <c r="D35" s="170"/>
      <c r="E35" s="94" t="s">
        <v>453</v>
      </c>
    </row>
    <row r="36" spans="2:5" ht="14.5" x14ac:dyDescent="0.35"/>
    <row r="37" spans="2:5" ht="21" x14ac:dyDescent="0.5">
      <c r="B37" s="527" t="s">
        <v>454</v>
      </c>
      <c r="C37" s="528"/>
      <c r="D37" s="528"/>
      <c r="E37" s="528"/>
    </row>
    <row r="38" spans="2:5" ht="15" thickBot="1" x14ac:dyDescent="0.4"/>
    <row r="39" spans="2:5" ht="15" thickBot="1" x14ac:dyDescent="0.4">
      <c r="B39" s="64" t="s">
        <v>455</v>
      </c>
      <c r="C39" s="5" t="s">
        <v>432</v>
      </c>
    </row>
    <row r="40" spans="2:5" ht="116" x14ac:dyDescent="0.35">
      <c r="B40" s="8" t="s">
        <v>456</v>
      </c>
      <c r="C40" s="317" t="s">
        <v>457</v>
      </c>
    </row>
    <row r="41" spans="2:5" ht="174" x14ac:dyDescent="0.35">
      <c r="B41" s="9" t="s">
        <v>458</v>
      </c>
      <c r="C41" s="318" t="s">
        <v>459</v>
      </c>
    </row>
    <row r="42" spans="2:5" ht="109.5" customHeight="1" x14ac:dyDescent="0.35">
      <c r="B42" s="9" t="s">
        <v>460</v>
      </c>
      <c r="C42" s="319" t="s">
        <v>461</v>
      </c>
    </row>
    <row r="43" spans="2:5" ht="21.75" customHeight="1" x14ac:dyDescent="0.35">
      <c r="B43" s="9" t="s">
        <v>462</v>
      </c>
      <c r="C43" s="318" t="s">
        <v>463</v>
      </c>
    </row>
    <row r="44" spans="2:5" ht="36.75" customHeight="1" thickBot="1" x14ac:dyDescent="0.4">
      <c r="B44" s="18" t="s">
        <v>464</v>
      </c>
      <c r="C44" s="320" t="s">
        <v>465</v>
      </c>
    </row>
    <row r="45" spans="2:5" ht="15" thickBot="1" x14ac:dyDescent="0.4"/>
    <row r="46" spans="2:5" ht="35.25" customHeight="1" thickBot="1" x14ac:dyDescent="0.4">
      <c r="B46" s="64" t="s">
        <v>466</v>
      </c>
      <c r="C46" s="5" t="s">
        <v>467</v>
      </c>
    </row>
    <row r="47" spans="2:5" ht="35.25" customHeight="1" x14ac:dyDescent="0.35">
      <c r="B47" s="9" t="s">
        <v>468</v>
      </c>
      <c r="C47" s="65" t="s">
        <v>469</v>
      </c>
    </row>
    <row r="48" spans="2:5" ht="35.25" customHeight="1" x14ac:dyDescent="0.35">
      <c r="B48" s="9" t="s">
        <v>470</v>
      </c>
      <c r="C48" s="66" t="s">
        <v>471</v>
      </c>
    </row>
    <row r="49" spans="2:5" ht="35.25" customHeight="1" x14ac:dyDescent="0.35">
      <c r="B49" s="9" t="s">
        <v>472</v>
      </c>
      <c r="C49" s="66" t="s">
        <v>473</v>
      </c>
    </row>
    <row r="50" spans="2:5" ht="35.25" customHeight="1" x14ac:dyDescent="0.35">
      <c r="B50" s="9" t="s">
        <v>474</v>
      </c>
      <c r="C50" s="66" t="s">
        <v>473</v>
      </c>
    </row>
    <row r="51" spans="2:5" ht="35.25" customHeight="1" thickBot="1" x14ac:dyDescent="0.4">
      <c r="B51" s="18" t="s">
        <v>475</v>
      </c>
      <c r="C51" s="428" t="s">
        <v>476</v>
      </c>
    </row>
    <row r="52" spans="2:5" ht="14.5" x14ac:dyDescent="0.35">
      <c r="B52" s="305"/>
      <c r="C52" s="306"/>
    </row>
    <row r="53" spans="2:5" ht="14.5" x14ac:dyDescent="0.35">
      <c r="B53" s="305"/>
      <c r="C53" s="306"/>
    </row>
    <row r="54" spans="2:5" ht="21" x14ac:dyDescent="0.5">
      <c r="B54" s="527" t="s">
        <v>477</v>
      </c>
      <c r="C54" s="528"/>
      <c r="D54" s="528"/>
      <c r="E54" s="528"/>
    </row>
    <row r="55" spans="2:5" ht="15" thickBot="1" x14ac:dyDescent="0.4"/>
    <row r="56" spans="2:5" ht="15" thickBot="1" x14ac:dyDescent="0.4">
      <c r="B56" s="529" t="s">
        <v>478</v>
      </c>
      <c r="C56" s="530"/>
      <c r="D56" s="531"/>
    </row>
    <row r="57" spans="2:5" ht="35.25" customHeight="1" thickBot="1" x14ac:dyDescent="0.4">
      <c r="B57" s="532" t="s">
        <v>479</v>
      </c>
      <c r="C57" s="64" t="s">
        <v>480</v>
      </c>
      <c r="D57" s="310" t="s">
        <v>481</v>
      </c>
    </row>
    <row r="58" spans="2:5" ht="35.25" customHeight="1" thickBot="1" x14ac:dyDescent="0.4">
      <c r="B58" s="533"/>
      <c r="C58" s="309" t="s">
        <v>482</v>
      </c>
      <c r="D58" s="308" t="s">
        <v>483</v>
      </c>
    </row>
    <row r="59" spans="2:5" ht="51.75" customHeight="1" x14ac:dyDescent="0.35">
      <c r="B59" s="36" t="s">
        <v>484</v>
      </c>
      <c r="C59" s="164" t="s">
        <v>485</v>
      </c>
      <c r="D59" s="127" t="s">
        <v>486</v>
      </c>
    </row>
    <row r="60" spans="2:5" ht="35.25" customHeight="1" x14ac:dyDescent="0.35">
      <c r="B60" s="37" t="s">
        <v>114</v>
      </c>
      <c r="C60" s="17" t="s">
        <v>487</v>
      </c>
      <c r="D60" s="50" t="s">
        <v>481</v>
      </c>
    </row>
    <row r="61" spans="2:5" ht="35.25" customHeight="1" x14ac:dyDescent="0.35">
      <c r="B61" s="37" t="s">
        <v>488</v>
      </c>
      <c r="C61" s="17" t="s">
        <v>234</v>
      </c>
      <c r="D61" s="50" t="s">
        <v>489</v>
      </c>
    </row>
    <row r="62" spans="2:5" ht="35.25" customHeight="1" x14ac:dyDescent="0.35">
      <c r="B62" s="106" t="s">
        <v>490</v>
      </c>
      <c r="C62" s="17" t="s">
        <v>491</v>
      </c>
      <c r="D62" s="50" t="s">
        <v>492</v>
      </c>
    </row>
    <row r="63" spans="2:5" ht="35.25" customHeight="1" x14ac:dyDescent="0.35">
      <c r="B63" s="37" t="s">
        <v>493</v>
      </c>
      <c r="C63" s="427" t="s">
        <v>494</v>
      </c>
      <c r="D63" s="426" t="s">
        <v>494</v>
      </c>
    </row>
    <row r="64" spans="2:5" ht="35.25" customHeight="1" thickBot="1" x14ac:dyDescent="0.4">
      <c r="B64" s="145" t="s">
        <v>495</v>
      </c>
      <c r="C64" s="162" t="s">
        <v>496</v>
      </c>
      <c r="D64" s="128" t="s">
        <v>496</v>
      </c>
    </row>
    <row r="65" spans="2:5" ht="14.5" x14ac:dyDescent="0.35">
      <c r="B65" s="41"/>
      <c r="C65" s="307"/>
      <c r="D65" s="307"/>
    </row>
    <row r="66" spans="2:5" ht="14.5" x14ac:dyDescent="0.35">
      <c r="B66" s="41"/>
      <c r="C66" s="307"/>
      <c r="D66" s="307"/>
    </row>
    <row r="67" spans="2:5" ht="21" x14ac:dyDescent="0.5">
      <c r="B67" s="527" t="s">
        <v>497</v>
      </c>
      <c r="C67" s="528"/>
      <c r="D67" s="528"/>
      <c r="E67" s="528"/>
    </row>
    <row r="68" spans="2:5" ht="15" thickBot="1" x14ac:dyDescent="0.4"/>
    <row r="69" spans="2:5" ht="35.25" customHeight="1" thickBot="1" x14ac:dyDescent="0.4">
      <c r="B69" s="5" t="s">
        <v>498</v>
      </c>
      <c r="C69" s="5" t="s">
        <v>499</v>
      </c>
      <c r="D69" s="5" t="s">
        <v>500</v>
      </c>
    </row>
    <row r="70" spans="2:5" ht="92.25" customHeight="1" thickBot="1" x14ac:dyDescent="0.4">
      <c r="B70" s="98" t="s">
        <v>440</v>
      </c>
      <c r="C70" s="67" t="s">
        <v>501</v>
      </c>
      <c r="D70" s="68" t="s">
        <v>502</v>
      </c>
    </row>
    <row r="71" spans="2:5" ht="35.25" customHeight="1" thickBot="1" x14ac:dyDescent="0.4">
      <c r="B71" s="98" t="s">
        <v>116</v>
      </c>
      <c r="C71" s="67" t="s">
        <v>503</v>
      </c>
      <c r="D71" s="68"/>
    </row>
    <row r="72" spans="2:5" ht="35.25" customHeight="1" thickBot="1" x14ac:dyDescent="0.4">
      <c r="B72" s="425" t="s">
        <v>504</v>
      </c>
      <c r="C72" s="69" t="s">
        <v>505</v>
      </c>
      <c r="D72" s="70" t="s">
        <v>506</v>
      </c>
    </row>
  </sheetData>
  <mergeCells count="10">
    <mergeCell ref="B67:E67"/>
    <mergeCell ref="B56:D56"/>
    <mergeCell ref="B57:B58"/>
    <mergeCell ref="B5:E5"/>
    <mergeCell ref="B21:E21"/>
    <mergeCell ref="B28:E28"/>
    <mergeCell ref="B37:E37"/>
    <mergeCell ref="B54:E54"/>
    <mergeCell ref="C24:C25"/>
    <mergeCell ref="B24:B26"/>
  </mergeCells>
  <pageMargins left="0.7" right="0.7" top="0.75" bottom="0.75" header="0.3" footer="0.3"/>
  <pageSetup paperSize="9" orientation="portrait" horizontalDpi="4294967293"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7e8fe4b-71c1-48ae-bec2-50f4b6c5b8c0" xsi:nil="true"/>
    <lcf76f155ced4ddcb4097134ff3c332f xmlns="139dd861-61b3-4ac4-bd2d-372dcabfcb5d">
      <Terms xmlns="http://schemas.microsoft.com/office/infopath/2007/PartnerControls"/>
    </lcf76f155ced4ddcb4097134ff3c332f>
    <Supplier xmlns="139dd861-61b3-4ac4-bd2d-372dcabfcb5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9F60FED9890FD44AE0DC005D48D7B44" ma:contentTypeVersion="15" ma:contentTypeDescription="Create a new document." ma:contentTypeScope="" ma:versionID="01f3c5036bdaf0bef65612137a04f778">
  <xsd:schema xmlns:xsd="http://www.w3.org/2001/XMLSchema" xmlns:xs="http://www.w3.org/2001/XMLSchema" xmlns:p="http://schemas.microsoft.com/office/2006/metadata/properties" xmlns:ns2="139dd861-61b3-4ac4-bd2d-372dcabfcb5d" xmlns:ns3="87e8fe4b-71c1-48ae-bec2-50f4b6c5b8c0" targetNamespace="http://schemas.microsoft.com/office/2006/metadata/properties" ma:root="true" ma:fieldsID="8c36ab681813f165c8c16c23c0624a43" ns2:_="" ns3:_="">
    <xsd:import namespace="139dd861-61b3-4ac4-bd2d-372dcabfcb5d"/>
    <xsd:import namespace="87e8fe4b-71c1-48ae-bec2-50f4b6c5b8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Suppli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9dd861-61b3-4ac4-bd2d-372dcabfcb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Supplier" ma:index="22" nillable="true" ma:displayName="Supplier" ma:format="Dropdown" ma:internalName="Supplie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7e8fe4b-71c1-48ae-bec2-50f4b6c5b8c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8467d5e-9775-4d97-96fe-689dc68d5431}" ma:internalName="TaxCatchAll" ma:showField="CatchAllData" ma:web="87e8fe4b-71c1-48ae-bec2-50f4b6c5b8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6BBCDE-EB16-4626-B303-65EE31E9998D}">
  <ds:schemaRefs>
    <ds:schemaRef ds:uri="http://schemas.microsoft.com/office/2006/metadata/properties"/>
    <ds:schemaRef ds:uri="http://schemas.microsoft.com/office/infopath/2007/PartnerControls"/>
    <ds:schemaRef ds:uri="87e8fe4b-71c1-48ae-bec2-50f4b6c5b8c0"/>
    <ds:schemaRef ds:uri="139dd861-61b3-4ac4-bd2d-372dcabfcb5d"/>
  </ds:schemaRefs>
</ds:datastoreItem>
</file>

<file path=customXml/itemProps2.xml><?xml version="1.0" encoding="utf-8"?>
<ds:datastoreItem xmlns:ds="http://schemas.openxmlformats.org/officeDocument/2006/customXml" ds:itemID="{1420F245-5450-4245-9E1B-05C7032DAACD}">
  <ds:schemaRefs>
    <ds:schemaRef ds:uri="http://schemas.microsoft.com/sharepoint/v3/contenttype/forms"/>
  </ds:schemaRefs>
</ds:datastoreItem>
</file>

<file path=customXml/itemProps3.xml><?xml version="1.0" encoding="utf-8"?>
<ds:datastoreItem xmlns:ds="http://schemas.openxmlformats.org/officeDocument/2006/customXml" ds:itemID="{25D9E481-1D5C-4E6A-B00A-D82063518B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9dd861-61b3-4ac4-bd2d-372dcabfcb5d"/>
    <ds:schemaRef ds:uri="87e8fe4b-71c1-48ae-bec2-50f4b6c5b8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ConsolidatedResponses</vt:lpstr>
      <vt:lpstr>Summary (READ FIRST)</vt:lpstr>
      <vt:lpstr>Subtitling</vt:lpstr>
      <vt:lpstr>CC &amp; HOH</vt:lpstr>
      <vt:lpstr>Dubbing</vt:lpstr>
      <vt:lpstr>Audio Desc.</vt:lpstr>
      <vt:lpstr>VO</vt:lpstr>
      <vt:lpstr>SLAs and Definitions &gt;&gt;</vt:lpstr>
      <vt:lpstr>SLAs</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Joyce (NE)</dc:creator>
  <cp:keywords/>
  <dc:description/>
  <cp:lastModifiedBy>Lakshmanamoorthy, Rajkumar</cp:lastModifiedBy>
  <cp:revision/>
  <dcterms:created xsi:type="dcterms:W3CDTF">2020-10-28T16:50:11Z</dcterms:created>
  <dcterms:modified xsi:type="dcterms:W3CDTF">2026-05-12T05:20:10Z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0x01010049F60FED9890FD44AE0DC005D48D7B44</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